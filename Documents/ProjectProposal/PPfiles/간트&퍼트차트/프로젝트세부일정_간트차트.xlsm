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D:\ORG\CapstoneDesign\Documents\ProjectProposal\PPfiles\간트&amp;퍼트차트\"/>
    </mc:Choice>
  </mc:AlternateContent>
  <xr:revisionPtr revIDLastSave="0" documentId="13_ncr:1_{AE87EC85-DABE-4C7E-82AA-CE961E4B6F47}" xr6:coauthVersionLast="41" xr6:coauthVersionMax="41" xr10:uidLastSave="{00000000-0000-0000-0000-000000000000}"/>
  <bookViews>
    <workbookView xWindow="-28920" yWindow="-120" windowWidth="29040" windowHeight="16440"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Schedule!$M$3:$AB$56</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E5" i="2" l="1"/>
  <c r="BF5" i="2"/>
  <c r="AE6" i="2"/>
  <c r="BF6" i="2"/>
  <c r="AE7" i="2"/>
  <c r="AJ8" i="2"/>
  <c r="AL9" i="2"/>
  <c r="AO10" i="2"/>
  <c r="BA10" i="2"/>
  <c r="BA11" i="2"/>
  <c r="AJ13" i="2"/>
  <c r="AJ14" i="2"/>
  <c r="AJ18" i="2"/>
  <c r="BA18" i="2"/>
  <c r="AJ19" i="2"/>
  <c r="AR19" i="2"/>
  <c r="AR20" i="2"/>
  <c r="BA20" i="2"/>
  <c r="AE23" i="2"/>
  <c r="BA23" i="2"/>
  <c r="AE24" i="2"/>
  <c r="AJ25" i="2"/>
  <c r="AL26" i="2"/>
  <c r="AO27" i="2"/>
  <c r="BA27" i="2"/>
  <c r="D34" i="4"/>
  <c r="E7" i="4"/>
  <c r="F7" i="4" s="1"/>
  <c r="H81" i="8"/>
  <c r="E8" i="4" l="1"/>
  <c r="E9" i="4" s="1"/>
  <c r="E10"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F9" i="4" l="1"/>
  <c r="F8" i="4"/>
  <c r="E11" i="4"/>
  <c r="F10" i="4"/>
  <c r="B24" i="3"/>
  <c r="AB1" i="2"/>
  <c r="D1" i="2"/>
  <c r="AB2" i="2"/>
  <c r="F11" i="4" l="1"/>
  <c r="E12" i="4"/>
  <c r="E13" i="4" l="1"/>
  <c r="F12" i="4"/>
  <c r="E14" i="4" l="1"/>
  <c r="F13" i="4"/>
  <c r="E15" i="4" l="1"/>
  <c r="F14" i="4"/>
  <c r="F15" i="4" l="1"/>
  <c r="E16" i="4"/>
  <c r="E17" i="4" l="1"/>
  <c r="F16" i="4"/>
  <c r="E18" i="4" l="1"/>
  <c r="F17" i="4"/>
  <c r="E19" i="4" l="1"/>
  <c r="F18" i="4"/>
  <c r="F19" i="4" l="1"/>
  <c r="E20" i="4"/>
  <c r="E21" i="4" l="1"/>
  <c r="F20" i="4"/>
  <c r="E22" i="4" l="1"/>
  <c r="F21" i="4"/>
  <c r="E23" i="4" l="1"/>
  <c r="F22" i="4"/>
  <c r="F23" i="4" l="1"/>
  <c r="E24" i="4"/>
  <c r="E25" i="4" l="1"/>
  <c r="F24" i="4"/>
  <c r="E26" i="4" l="1"/>
  <c r="F25" i="4"/>
  <c r="E27" i="4" l="1"/>
  <c r="F26" i="4"/>
  <c r="F27" i="4" l="1"/>
  <c r="E28" i="4"/>
  <c r="E29" i="4" l="1"/>
  <c r="F28" i="4"/>
  <c r="E30" i="4" l="1"/>
  <c r="F29" i="4"/>
  <c r="E31" i="4" l="1"/>
  <c r="F30" i="4"/>
  <c r="F31" i="4" l="1"/>
  <c r="E32" i="4"/>
  <c r="E33" i="4" l="1"/>
  <c r="F33" i="4" s="1"/>
  <c r="F32" i="4"/>
</calcChain>
</file>

<file path=xl/sharedStrings.xml><?xml version="1.0" encoding="utf-8"?>
<sst xmlns="http://schemas.openxmlformats.org/spreadsheetml/2006/main" count="1418" uniqueCount="1104">
  <si>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</si>
  <si>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</si>
  <si>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</si>
  <si>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</si>
  <si>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</si>
  <si>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</si>
  <si>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</si>
  <si>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</si>
  <si>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</si>
  <si>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</si>
  <si>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</si>
  <si>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</si>
  <si>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</si>
  <si>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</si>
  <si>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</si>
  <si>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</si>
  <si>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</si>
  <si>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</si>
  <si>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</si>
  <si>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</si>
  <si>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</si>
  <si>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</si>
  <si>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</si>
  <si>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</si>
  <si>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</si>
  <si>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</si>
  <si>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</si>
  <si>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</si>
  <si>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</si>
  <si>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</si>
  <si>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</si>
  <si>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</si>
  <si>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</si>
  <si>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</si>
  <si>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</si>
  <si>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</si>
  <si>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</si>
  <si>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</si>
  <si>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</si>
  <si>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</si>
  <si>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</si>
  <si>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</si>
  <si>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</si>
  <si>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</si>
  <si>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</si>
  <si>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</si>
  <si>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</si>
  <si>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</si>
  <si>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</si>
  <si>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</si>
  <si>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</si>
  <si>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</si>
  <si>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</si>
  <si>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</si>
  <si>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</si>
  <si>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</si>
  <si>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</si>
  <si>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</si>
  <si>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</si>
  <si>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</si>
  <si>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</si>
  <si>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</si>
  <si>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</si>
  <si>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</si>
  <si>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</si>
  <si>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</si>
  <si>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</si>
  <si>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</si>
  <si>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</si>
  <si>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</si>
  <si>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</si>
  <si>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</si>
  <si>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</si>
  <si>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</si>
  <si>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</si>
  <si>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</si>
  <si>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</si>
  <si>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</si>
  <si>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</si>
  <si>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</si>
  <si>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</si>
  <si>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</si>
  <si>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</si>
  <si>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</si>
  <si>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</si>
  <si>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</si>
  <si>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</si>
  <si>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</si>
  <si>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</si>
  <si>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</si>
  <si>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</si>
  <si>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</si>
  <si>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</si>
  <si>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</si>
  <si>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</si>
  <si>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</si>
  <si>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</si>
  <si>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</si>
  <si>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</si>
  <si>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</si>
  <si>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</si>
  <si>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</si>
  <si>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</si>
  <si>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</si>
  <si>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</si>
  <si>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</si>
  <si>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</si>
  <si>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</si>
  <si>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</si>
  <si>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</si>
  <si>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</si>
  <si>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</si>
  <si>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</si>
  <si>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</si>
  <si>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</si>
  <si>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</si>
  <si>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</si>
  <si>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</si>
  <si>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</si>
  <si>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</si>
  <si>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</si>
  <si>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</si>
  <si>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</si>
  <si>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</si>
  <si>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</si>
  <si>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</si>
  <si>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</si>
  <si>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</si>
  <si>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</si>
  <si>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</si>
  <si>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</si>
  <si>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</si>
  <si>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</si>
  <si>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</si>
  <si>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</si>
  <si>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</si>
  <si>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</si>
  <si>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</si>
  <si>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</si>
  <si>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</si>
  <si>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</si>
  <si>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</si>
  <si>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</si>
  <si>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</si>
  <si>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</si>
  <si>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</si>
  <si>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</si>
  <si>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</si>
  <si>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</si>
  <si>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</si>
  <si>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</si>
  <si>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</si>
  <si>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</si>
  <si>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</si>
  <si>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</si>
  <si>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</si>
  <si>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</si>
  <si>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</si>
  <si>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</si>
  <si>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</si>
  <si>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</si>
  <si>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</si>
  <si>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</si>
  <si>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</si>
  <si>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</si>
  <si>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</si>
  <si>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</si>
  <si>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</si>
  <si>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</si>
  <si>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</si>
  <si>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</si>
  <si>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</si>
  <si>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</si>
  <si>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</si>
  <si>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</si>
  <si>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</si>
  <si>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</si>
  <si>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</si>
  <si>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</si>
  <si>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</si>
  <si>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</si>
  <si>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</si>
  <si>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</si>
  <si>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</si>
  <si>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</si>
  <si>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</si>
  <si>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</si>
  <si>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</si>
  <si>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</si>
  <si>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</si>
  <si>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</si>
  <si>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</si>
  <si>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</si>
  <si>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</si>
  <si>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</si>
  <si>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</si>
  <si>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</si>
  <si>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</si>
  <si>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</si>
  <si>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</si>
  <si>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</si>
  <si>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</si>
  <si>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</si>
  <si>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</si>
  <si>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</si>
  <si>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</si>
  <si>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</si>
  <si>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</si>
  <si>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</si>
  <si>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</si>
  <si>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</si>
  <si>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</si>
  <si>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</si>
  <si>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</si>
  <si>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</si>
  <si>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</si>
  <si>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</si>
  <si>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</si>
  <si>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</si>
  <si>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</si>
  <si>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</si>
  <si>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</si>
  <si>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</si>
  <si>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</si>
  <si>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</si>
  <si>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</si>
  <si>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</si>
  <si>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</si>
  <si>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</si>
  <si>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</si>
  <si>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</si>
  <si>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</si>
  <si>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</si>
  <si>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</si>
  <si>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</si>
  <si>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</si>
  <si>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</si>
  <si>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</si>
  <si>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</si>
  <si>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</si>
  <si>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</si>
  <si>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</si>
  <si>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</si>
  <si>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</si>
  <si>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</si>
  <si>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</si>
  <si>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</si>
  <si>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</si>
  <si>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</si>
  <si>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</si>
  <si>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</si>
  <si>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</si>
  <si>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</si>
  <si>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</si>
  <si>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</si>
  <si>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</si>
  <si>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</si>
  <si>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</si>
  <si>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</si>
  <si>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</si>
  <si>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</si>
  <si>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</si>
  <si>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</si>
  <si>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</si>
  <si>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</si>
  <si>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</si>
  <si>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</si>
  <si>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</si>
  <si>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</si>
  <si>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</si>
  <si>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</si>
  <si>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</si>
  <si>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</si>
  <si>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</si>
  <si>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</si>
  <si>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</si>
  <si>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</si>
  <si>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</si>
  <si>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</si>
  <si>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</si>
  <si>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</si>
  <si>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</si>
  <si>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</si>
  <si>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</si>
  <si>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</si>
  <si>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</si>
  <si>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</si>
  <si>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</si>
  <si>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</si>
  <si>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</si>
  <si>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</si>
  <si>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</si>
  <si>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</si>
  <si>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</si>
  <si>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</si>
  <si>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</si>
  <si>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</si>
  <si>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</si>
  <si>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</si>
  <si>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</si>
  <si>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</si>
  <si>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</si>
  <si>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</si>
  <si>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</si>
  <si>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</si>
  <si>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</si>
  <si>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</si>
  <si>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</si>
  <si>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</si>
  <si>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</si>
  <si>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</si>
  <si>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</si>
  <si>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</si>
  <si>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</si>
  <si>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</si>
  <si>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</si>
  <si>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</si>
  <si>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</si>
  <si>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</si>
  <si>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</si>
  <si>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</si>
  <si>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</si>
  <si>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</si>
  <si>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</si>
  <si>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</si>
  <si>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</si>
  <si>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</si>
  <si>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</si>
  <si>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</si>
  <si>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</si>
  <si>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</si>
  <si>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</si>
  <si>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</si>
  <si>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</si>
  <si>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</si>
  <si>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</si>
  <si>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</si>
  <si>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</si>
  <si>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</si>
  <si>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</si>
  <si>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</si>
  <si>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</si>
  <si>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</si>
  <si>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</si>
  <si>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</si>
  <si>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</si>
  <si>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</si>
  <si>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</si>
  <si>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</si>
  <si>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</si>
  <si>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</si>
  <si>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</si>
  <si>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</si>
  <si>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</si>
  <si>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</si>
  <si>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</si>
  <si>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</si>
  <si>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</si>
  <si>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</si>
  <si>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</si>
  <si>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</si>
  <si>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</si>
  <si>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</si>
  <si>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</si>
  <si>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</si>
  <si>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</si>
  <si>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</si>
  <si>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</si>
  <si>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</si>
  <si>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</si>
  <si>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</si>
  <si>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</si>
  <si>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</si>
  <si>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</si>
  <si>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</si>
  <si>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</si>
  <si>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</si>
  <si>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</si>
  <si>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</si>
  <si>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</si>
  <si>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</si>
  <si>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</si>
  <si>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</si>
  <si>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</si>
  <si>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</si>
  <si>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</si>
  <si>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</si>
  <si>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</si>
  <si>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</si>
  <si>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</si>
  <si>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</si>
  <si>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</si>
  <si>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</si>
  <si>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</si>
  <si>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</si>
  <si>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</si>
  <si>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</si>
  <si>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</si>
  <si>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</si>
  <si>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</si>
  <si>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</si>
  <si>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</si>
  <si>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</si>
  <si>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</si>
  <si>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</si>
  <si>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</si>
  <si>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</si>
  <si>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</si>
  <si>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</si>
  <si>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</si>
  <si>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</si>
  <si>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</si>
  <si>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</si>
  <si>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</si>
  <si>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</si>
  <si>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</si>
  <si>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</si>
  <si>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</si>
  <si>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</si>
  <si>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</si>
  <si>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</si>
  <si>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</si>
  <si>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</si>
  <si>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</si>
  <si>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</si>
  <si>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</si>
  <si>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</si>
  <si>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</si>
  <si>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</si>
  <si>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1.2.1</t>
  </si>
  <si>
    <t>1.3.1</t>
  </si>
  <si>
    <t>1.3.2</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</si>
  <si>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</si>
  <si>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</si>
  <si>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</si>
  <si>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</si>
  <si>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</si>
  <si>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</si>
  <si>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</si>
  <si>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</si>
  <si>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</si>
  <si>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</si>
  <si>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</si>
  <si>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</si>
  <si>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</si>
  <si>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</si>
  <si>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</si>
  <si>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</si>
  <si>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</si>
  <si>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</si>
  <si>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</si>
  <si>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</si>
  <si>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</si>
  <si>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</si>
  <si>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</si>
  <si>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</si>
  <si>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</si>
  <si>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</si>
  <si>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</si>
  <si>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</si>
  <si>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</si>
  <si>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</si>
  <si>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</si>
  <si>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</si>
  <si>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</si>
  <si>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</si>
  <si>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</si>
  <si>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</si>
  <si>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</si>
  <si>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</si>
  <si>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</si>
  <si>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</si>
  <si>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</si>
  <si>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</si>
  <si>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</si>
  <si>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</si>
  <si>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</si>
  <si>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</si>
  <si>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</si>
  <si>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</si>
  <si>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</si>
  <si>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</si>
  <si>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</si>
  <si>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</si>
  <si>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</si>
  <si>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</si>
  <si>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</si>
  <si>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</si>
  <si>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</si>
  <si>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</si>
  <si>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</si>
  <si>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</si>
  <si>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</si>
  <si>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</si>
  <si>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</si>
  <si>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</si>
  <si>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</si>
  <si>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</si>
  <si>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</si>
  <si>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</si>
  <si>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</si>
  <si>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</si>
  <si>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</si>
  <si>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</si>
  <si>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</si>
  <si>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</si>
  <si>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</si>
  <si>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</si>
  <si>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</si>
  <si>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</si>
  <si>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</si>
  <si>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</si>
  <si>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</si>
  <si>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</si>
  <si>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</si>
  <si>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</si>
  <si>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</si>
  <si>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</si>
  <si>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프로젝트 관리</t>
  </si>
  <si>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</si>
  <si>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</si>
  <si>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</si>
  <si>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</si>
  <si>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</si>
  <si>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</si>
  <si>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</si>
  <si>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</si>
  <si>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</si>
  <si>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</si>
  <si>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</si>
  <si>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</si>
  <si>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</si>
  <si>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</si>
  <si>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</si>
  <si>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</si>
  <si>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</si>
  <si>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</si>
  <si>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</si>
  <si>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</si>
  <si>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</si>
  <si>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</si>
  <si>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</si>
  <si>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</si>
  <si>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</si>
  <si>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</si>
  <si>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</si>
  <si>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</si>
  <si>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</si>
  <si>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</si>
  <si>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</si>
  <si>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</si>
  <si>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</si>
  <si>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</si>
  <si>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</si>
  <si>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</si>
  <si>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</si>
  <si>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</si>
  <si>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</si>
  <si>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</si>
  <si>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</si>
  <si>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</si>
  <si>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</si>
  <si>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</si>
  <si>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</si>
  <si>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</si>
  <si>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</si>
  <si>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</si>
  <si>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</si>
  <si>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</si>
  <si>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</si>
  <si>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</si>
  <si>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</si>
  <si>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</si>
  <si>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</si>
  <si>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</si>
  <si>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</si>
  <si>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</si>
  <si>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</si>
  <si>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</si>
  <si>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</si>
  <si>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</si>
  <si>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</si>
  <si>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</si>
  <si>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</si>
  <si>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</si>
  <si>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</si>
  <si>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</si>
  <si>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</si>
  <si>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</si>
  <si>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</si>
  <si>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</si>
  <si>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</si>
  <si>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</si>
  <si>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</si>
  <si>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</si>
  <si>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</si>
  <si>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</si>
  <si>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</si>
  <si>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</si>
  <si>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</si>
  <si>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</si>
  <si>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</si>
  <si>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</si>
  <si>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</si>
  <si>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</si>
  <si>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</si>
  <si>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</si>
  <si>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</si>
  <si>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</si>
  <si>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</si>
  <si>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</si>
  <si>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</si>
  <si>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</si>
  <si>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</si>
  <si>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</si>
  <si>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</si>
  <si>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</si>
  <si>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</si>
  <si>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</si>
  <si>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</si>
  <si>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</si>
  <si>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</si>
  <si>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</si>
  <si>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</si>
  <si>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</si>
  <si>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</si>
  <si>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</si>
  <si>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</si>
  <si>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</si>
  <si>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</si>
  <si>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</si>
  <si>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</si>
  <si>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</si>
  <si>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</si>
  <si>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</si>
  <si>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</si>
  <si>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</si>
  <si>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</si>
  <si>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</si>
  <si>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</si>
  <si>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</si>
  <si>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</si>
  <si>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</si>
  <si>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</si>
  <si>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</si>
  <si>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</si>
  <si>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</si>
  <si>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</si>
  <si>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</si>
  <si>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</si>
  <si>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</si>
  <si>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</si>
  <si>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</si>
  <si>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</si>
  <si>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</si>
  <si>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</si>
  <si>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</si>
  <si>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</si>
  <si>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</si>
  <si>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</si>
  <si>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</si>
  <si>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</si>
  <si>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</si>
  <si>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</si>
  <si>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</si>
  <si>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</si>
  <si>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</si>
  <si>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</si>
  <si>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</si>
  <si>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</si>
  <si>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</si>
  <si>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</si>
  <si>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</si>
  <si>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</si>
  <si>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</si>
  <si>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</si>
  <si>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</si>
  <si>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</si>
  <si>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</si>
  <si>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</si>
  <si>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</si>
  <si>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</si>
  <si>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</si>
  <si>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</si>
  <si>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</si>
  <si>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</si>
  <si>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</si>
  <si>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</si>
  <si>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</si>
  <si>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</si>
  <si>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</si>
  <si>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</si>
  <si>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</si>
  <si>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</si>
  <si>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</si>
  <si>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</si>
  <si>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</si>
  <si>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</si>
  <si>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</si>
  <si>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</si>
  <si>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</si>
  <si>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</si>
  <si>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</si>
  <si>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</si>
  <si>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</si>
  <si>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</si>
  <si>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</si>
  <si>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</si>
  <si>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</si>
  <si>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</si>
  <si>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</si>
  <si>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</si>
  <si>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</si>
  <si>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</si>
  <si>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</si>
  <si>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</si>
  <si>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</si>
  <si>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</si>
  <si>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</si>
  <si>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</si>
  <si>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</si>
  <si>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</si>
  <si>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</si>
  <si>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</si>
  <si>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</si>
  <si>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</si>
  <si>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</si>
  <si>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</si>
  <si>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</si>
  <si>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</si>
  <si>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</si>
  <si>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</si>
  <si>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</si>
  <si>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</si>
  <si>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</si>
  <si>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</si>
  <si>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</si>
  <si>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</si>
  <si>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</si>
  <si>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</si>
  <si>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</si>
  <si>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</si>
  <si>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</si>
  <si>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</si>
  <si>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</si>
  <si>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</si>
  <si>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</si>
  <si>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</si>
  <si>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</si>
  <si>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</si>
  <si>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</si>
  <si>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</si>
  <si>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</si>
  <si>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</si>
  <si>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</si>
  <si>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</si>
  <si>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</si>
  <si>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</si>
  <si>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</si>
  <si>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</si>
  <si>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</si>
  <si>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</si>
  <si>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</si>
  <si>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</si>
  <si>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</si>
  <si>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</si>
  <si>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</si>
  <si>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</si>
  <si>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</si>
  <si>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</si>
  <si>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</si>
  <si>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</si>
  <si>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</si>
  <si>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</si>
  <si>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</si>
  <si>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</si>
  <si>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</si>
  <si>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</si>
  <si>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</si>
  <si>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</si>
  <si>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</si>
  <si>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</si>
  <si>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</si>
  <si>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</si>
  <si>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</si>
  <si>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</si>
  <si>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</si>
  <si>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</si>
  <si>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</si>
  <si>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</si>
  <si>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</si>
  <si>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</si>
  <si>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</si>
  <si>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</si>
  <si>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</si>
  <si>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</si>
  <si>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</si>
  <si>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</si>
  <si>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</si>
  <si>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</si>
  <si>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</si>
  <si>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</si>
  <si>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</si>
  <si>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</si>
  <si>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</si>
  <si>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</si>
  <si>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</si>
  <si>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</si>
  <si>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</si>
  <si>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</si>
  <si>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</si>
  <si>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</si>
  <si>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</si>
  <si>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</si>
  <si>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</si>
  <si>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</si>
  <si>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</si>
  <si>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</si>
  <si>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</si>
  <si>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</si>
  <si>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</si>
  <si>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</si>
  <si>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</si>
  <si>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</si>
  <si>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</si>
  <si>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</si>
  <si>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</si>
  <si>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</si>
  <si>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</si>
  <si>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</si>
  <si>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</si>
  <si>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</si>
  <si>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</si>
  <si>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</si>
  <si>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</si>
  <si>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</si>
  <si>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</si>
  <si>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</si>
  <si>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</si>
  <si>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</si>
  <si>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</si>
  <si>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</si>
  <si>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</si>
  <si>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</si>
  <si>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</si>
  <si>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</si>
  <si>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</si>
  <si>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</si>
  <si>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</si>
  <si>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</si>
  <si>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</si>
  <si>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</si>
  <si>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</si>
  <si>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</si>
  <si>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</si>
  <si>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</si>
  <si>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</si>
  <si>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</si>
  <si>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</si>
  <si>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</si>
  <si>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</si>
  <si>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</si>
  <si>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</si>
  <si>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</si>
  <si>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</si>
  <si>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</si>
  <si>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</si>
  <si>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</si>
  <si>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</si>
  <si>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</si>
  <si>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</si>
  <si>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</si>
  <si>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</si>
  <si>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</si>
  <si>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</si>
  <si>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</si>
  <si>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</si>
  <si>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</si>
  <si>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</si>
  <si>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</si>
  <si>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</si>
  <si>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</si>
  <si>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</si>
  <si>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</si>
  <si>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</si>
  <si>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</si>
  <si>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</si>
  <si>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</si>
  <si>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</si>
  <si>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</si>
  <si>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</si>
  <si>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</si>
  <si>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</si>
  <si>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</si>
  <si>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</si>
  <si>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</si>
  <si>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</si>
  <si>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</si>
  <si>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</si>
  <si>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</si>
  <si>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</si>
  <si>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</si>
  <si>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</si>
  <si>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</si>
  <si>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</si>
  <si>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</si>
  <si>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</si>
  <si>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</si>
  <si>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</si>
  <si>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</si>
  <si>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</si>
  <si>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</si>
  <si>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</si>
  <si>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</si>
  <si>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</si>
  <si>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</si>
  <si>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</si>
  <si>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</si>
  <si>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</si>
  <si>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</si>
  <si>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</si>
  <si>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</si>
  <si>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</si>
  <si>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</si>
  <si>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</si>
  <si>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</si>
  <si>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</si>
  <si>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</si>
  <si>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</si>
  <si>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</si>
  <si>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</si>
  <si>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</si>
  <si>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</si>
  <si>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</si>
  <si>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</si>
  <si>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</si>
  <si>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</si>
  <si>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</si>
  <si>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</si>
  <si>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</si>
  <si>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</si>
  <si>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</si>
  <si>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</si>
  <si>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</si>
  <si>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</si>
  <si>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</si>
  <si>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</si>
  <si>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</si>
  <si>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</si>
  <si>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</si>
  <si>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</si>
  <si>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</si>
  <si>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</si>
  <si>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</si>
  <si>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</si>
  <si>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</si>
  <si>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</si>
  <si>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</si>
  <si>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</si>
  <si>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</si>
  <si>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</si>
  <si>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</si>
  <si>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</si>
  <si>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</si>
  <si>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</si>
  <si>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</si>
  <si>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</si>
  <si>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</si>
  <si>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</si>
  <si>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2.1.0</t>
    <phoneticPr fontId="2" type="noConversion"/>
  </si>
  <si>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</si>
  <si>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</si>
  <si>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</si>
  <si>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</si>
  <si>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</si>
  <si>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</si>
  <si>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</si>
  <si>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</si>
  <si>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</si>
  <si>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</si>
  <si>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</si>
  <si>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</si>
  <si>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</si>
  <si>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</si>
  <si>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</si>
  <si>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</si>
  <si>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</si>
  <si>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</si>
  <si>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</si>
  <si>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</si>
  <si>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</si>
  <si>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1.1.2</t>
  </si>
  <si>
    <t>1.2</t>
  </si>
  <si>
    <t>1.3</t>
  </si>
  <si>
    <t>메모장</t>
    <phoneticPr fontId="8" type="noConversion"/>
  </si>
  <si>
    <t>Display font color to the gray for the completed tasks</t>
    <phoneticPr fontId="2" type="noConversion"/>
  </si>
  <si>
    <t>ace</t>
    <phoneticPr fontId="8" type="noConversion"/>
  </si>
  <si>
    <t>txt</t>
    <phoneticPr fontId="8" type="noConversion"/>
  </si>
  <si>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</si>
  <si>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</si>
  <si>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</si>
  <si>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</si>
  <si>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</si>
  <si>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</si>
  <si>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</si>
  <si>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</si>
  <si>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</si>
  <si>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</si>
  <si>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</si>
  <si>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</si>
  <si>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</si>
  <si>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</si>
  <si>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</si>
  <si>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담당</t>
    <phoneticPr fontId="8" type="noConversion"/>
  </si>
  <si>
    <t>프로젝트 진행율 - 일정변경 관리하지 않을때</t>
    <phoneticPr fontId="8" type="noConversion"/>
  </si>
  <si>
    <t>시작일</t>
  </si>
  <si>
    <t>완료일</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</si>
  <si>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</si>
  <si>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</si>
  <si>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</si>
  <si>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</si>
  <si>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</si>
  <si>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</si>
  <si>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</si>
  <si>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</si>
  <si>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</si>
  <si>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</si>
  <si>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총_x000D_
작업량</t>
    <phoneticPr fontId="8" type="noConversion"/>
  </si>
  <si>
    <t>가중치</t>
    <phoneticPr fontId="8" type="noConversion"/>
  </si>
  <si>
    <t>자동지정</t>
    <phoneticPr fontId="8" type="noConversion"/>
  </si>
  <si>
    <t>doc*</t>
    <phoneticPr fontId="8" type="noConversion"/>
  </si>
  <si>
    <t>Auto CAD</t>
    <phoneticPr fontId="8" type="noConversion"/>
  </si>
  <si>
    <t>E</t>
    <phoneticPr fontId="2" type="noConversion"/>
  </si>
  <si>
    <t>wbs_level</t>
    <phoneticPr fontId="8" type="noConversion"/>
  </si>
  <si>
    <t>총_x000D_
기간</t>
    <phoneticPr fontId="8" type="noConversion"/>
  </si>
  <si>
    <t>실적*</t>
    <phoneticPr fontId="8" type="noConversion"/>
  </si>
  <si>
    <t>TODAY</t>
    <phoneticPr fontId="2" type="noConversion"/>
  </si>
  <si>
    <t>DEFINED</t>
    <phoneticPr fontId="8" type="noConversion"/>
  </si>
  <si>
    <t>아크로에디터</t>
    <phoneticPr fontId="8" type="noConversion"/>
  </si>
  <si>
    <t>C:\WINDOWS\system32\notepad.exe</t>
    <phoneticPr fontId="8" type="noConversion"/>
  </si>
  <si>
    <t>비고</t>
    <phoneticPr fontId="8" type="noConversion"/>
  </si>
  <si>
    <t>시작일*</t>
    <phoneticPr fontId="8" type="noConversion"/>
  </si>
  <si>
    <t>Calendar</t>
    <phoneticPr fontId="8" type="noConversion"/>
  </si>
  <si>
    <t>계획_x000D_
기간</t>
    <phoneticPr fontId="8" type="noConversion"/>
  </si>
  <si>
    <t>실제_x000D_
완료일</t>
    <phoneticPr fontId="8" type="noConversion"/>
  </si>
  <si>
    <t>{"TASK_FIRST_COL":"5","START_ROW":"5","WBS_AREA_LAST_COL":"28"}</t>
    <phoneticPr fontId="8" type="noConversion"/>
  </si>
  <si>
    <t>WBS</t>
    <phoneticPr fontId="8" type="noConversion"/>
  </si>
  <si>
    <t>작업*</t>
    <phoneticPr fontId="8" type="noConversion"/>
  </si>
  <si>
    <t>완료일*</t>
    <phoneticPr fontId="8" type="noConversion"/>
  </si>
  <si>
    <t>실제_x000D_
시작일</t>
    <phoneticPr fontId="8" type="noConversion"/>
  </si>
  <si>
    <t>실제_x000D_
총작업량</t>
    <phoneticPr fontId="8" type="noConversion"/>
  </si>
  <si>
    <t>실제_x000D_
총기간</t>
    <phoneticPr fontId="8" type="noConversion"/>
  </si>
  <si>
    <t>파워포인트</t>
    <phoneticPr fontId="8" type="noConversion"/>
  </si>
  <si>
    <t>ppt*</t>
    <phoneticPr fontId="8" type="noConversion"/>
  </si>
  <si>
    <t>워드</t>
    <phoneticPr fontId="8" type="noConversion"/>
  </si>
  <si>
    <t>엑셀</t>
    <phoneticPr fontId="8" type="noConversion"/>
  </si>
  <si>
    <t>xls*</t>
    <phoneticPr fontId="8" type="noConversion"/>
  </si>
  <si>
    <t>cad</t>
    <phoneticPr fontId="8" type="noConversion"/>
  </si>
  <si>
    <t>c:\cad\cad\cad.exe</t>
    <phoneticPr fontId="8" type="noConversion"/>
  </si>
  <si>
    <t>c:\ace\aaa.exe</t>
    <phoneticPr fontId="8" type="noConversion"/>
  </si>
  <si>
    <t>reserved</t>
    <phoneticPr fontId="8" type="noConversion"/>
  </si>
  <si>
    <t>task_group</t>
    <phoneticPr fontId="8" type="noConversion"/>
  </si>
  <si>
    <t>산출물</t>
    <phoneticPr fontId="8" type="noConversion"/>
  </si>
  <si>
    <t>일정변경관리 하지 않을 때 현재까지 실제로 진행된 작업기간을 표시함(총기간 x 총실적진행율)</t>
    <phoneticPr fontId="8" type="noConversion"/>
  </si>
  <si>
    <t>SCHEDULE_SHEET_POSITION:3545121314151617181920212223242526272829</t>
    <phoneticPr fontId="2" type="noConversion"/>
  </si>
  <si>
    <t>계획_x000D_
작업량</t>
    <phoneticPr fontId="8" type="noConversion"/>
  </si>
  <si>
    <t>계획</t>
    <phoneticPr fontId="8" type="noConversion"/>
  </si>
  <si>
    <t>강화학습 구현</t>
  </si>
  <si>
    <t>그래픽 구현</t>
  </si>
  <si>
    <t>하드웨어구현</t>
  </si>
  <si>
    <t>영상처리구현</t>
  </si>
  <si>
    <t>학습및자료조사</t>
  </si>
  <si>
    <t xml:space="preserve">그래픽 결과물을 위한 강화학습 모델 개발 </t>
  </si>
  <si>
    <t>학습 및 자료조사</t>
  </si>
  <si>
    <t xml:space="preserve">기존 모델을 Hardware에 적용할 수 있도록 수정 </t>
  </si>
  <si>
    <t>최종 결과 보고서 작성</t>
  </si>
  <si>
    <t>컴퓨터 그래픽스 구현</t>
  </si>
  <si>
    <t>보드 통신 및 조작 구현</t>
  </si>
  <si>
    <t xml:space="preserve">최종 구현 </t>
  </si>
  <si>
    <t>그래픽 환경에서 자동차 및 장애물, 주차공간 인식 프로그램 개발</t>
  </si>
  <si>
    <t>어라운드뷰 영상에서 자동차 및 장애물, 주차공간 인식 프로그램 개발</t>
  </si>
  <si>
    <t>영상에서의 사물 인식 관련</t>
  </si>
  <si>
    <t>실시간 영상처리 관련</t>
  </si>
  <si>
    <t>실시간 영상을 다루는 함수</t>
  </si>
  <si>
    <t>1.1.3</t>
  </si>
  <si>
    <t>1.1.4</t>
  </si>
  <si>
    <t>1.1.5</t>
  </si>
  <si>
    <t>1.4</t>
  </si>
  <si>
    <t>1.4.1</t>
  </si>
  <si>
    <t>1.4.2</t>
  </si>
  <si>
    <t>1.4.3</t>
  </si>
  <si>
    <t>1.4.4</t>
  </si>
  <si>
    <t>이아현</t>
  </si>
  <si>
    <t>윤승혁</t>
  </si>
  <si>
    <t>강한결</t>
  </si>
  <si>
    <t>오령기</t>
  </si>
  <si>
    <t>계획진척율(주별)</t>
  </si>
  <si>
    <t>* 주별로 프로젝트의 계획진적율을 보여줍니다.</t>
  </si>
  <si>
    <t>* "계획진척율" 메뉴를 클릭해야 갱신됨</t>
  </si>
  <si>
    <t>누적_x000D_
Man-Day</t>
  </si>
  <si>
    <t>진척율</t>
  </si>
  <si>
    <r>
      <t xml:space="preserve">  XLGantt 2.1.0 </t>
    </r>
    <r>
      <rPr>
        <b/>
        <sz val="14"/>
        <color rgb="FFFF8800"/>
        <rFont val="돋움"/>
        <family val="3"/>
        <charset val="129"/>
      </rPr>
      <t>ⓒ</t>
    </r>
    <r>
      <rPr>
        <b/>
        <sz val="14"/>
        <color rgb="FFFF8800"/>
        <rFont val="Calibri"/>
        <family val="2"/>
      </rPr>
      <t>XLWorks</t>
    </r>
    <phoneticPr fontId="8" type="noConversion"/>
  </si>
  <si>
    <t xml:space="preserve">  주별보기, Zoom 100%</t>
    <phoneticPr fontId="8" type="noConversion"/>
  </si>
  <si>
    <t>Valet Parker</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</si>
</sst>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_);[Red]\(0\)"/>
    <numFmt numFmtId="177" formatCode="0.0"/>
    <numFmt numFmtId="178" formatCode="mm\/dd"/>
    <numFmt numFmtId="179" formatCode="0.0_);[Red]\(0.0\)"/>
    <numFmt numFmtId="180" formatCode="0.00_);[Red]\(0.00\)"/>
    <numFmt numFmtId="181" formatCode="mm&quot;월&quot;\ dd&quot;일&quot;"/>
  </numFmts>
  <fonts count="52">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Arial Unicode MS"/>
      <family val="2"/>
      <charset val="129"/>
    </font>
    <font>
      <sz val="9"/>
      <name val="맑은 고딕"/>
      <family val="3"/>
      <charset val="129"/>
    </font>
    <font>
      <b/>
      <sz val="9"/>
      <name val="맑은 고딕"/>
      <family val="3"/>
      <charset val="129"/>
    </font>
    <font>
      <b/>
      <sz val="9"/>
      <name val="Calibri"/>
      <family val="3"/>
      <charset val="129"/>
    </font>
    <font>
      <sz val="10"/>
      <color theme="1"/>
      <name val="맑은 고딕"/>
      <family val="3"/>
      <charset val="129"/>
      <scheme val="minor"/>
    </font>
    <font>
      <sz val="9"/>
      <name val="Calibri"/>
      <family val="3"/>
      <charset val="129"/>
    </font>
    <font>
      <sz val="9"/>
      <name val="Calibri"/>
      <family val="2"/>
      <charset val="129"/>
    </font>
    <font>
      <sz val="9"/>
      <color theme="0"/>
      <name val="Calibri"/>
      <family val="3"/>
      <charset val="129"/>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42">
    <xf numFmtId="0" fontId="0" fillId="0" borderId="0" xfId="0"/>
    <xf numFmtId="0" fontId="12" fillId="0" borderId="0" xfId="1" applyFont="1" applyFill="1" applyAlignment="1">
      <alignment horizontal="left" vertical="center"/>
    </xf>
    <xf numFmtId="0" fontId="12" fillId="0" borderId="2" xfId="4" applyFont="1" applyBorder="1" applyAlignment="1">
      <alignment horizontal="left" vertical="center"/>
    </xf>
    <xf numFmtId="0" fontId="12" fillId="0" borderId="7" xfId="4" quotePrefix="1" applyFont="1" applyBorder="1" applyAlignment="1" applyProtection="1">
      <alignment horizontal="right" vertical="top"/>
      <protection locked="0"/>
    </xf>
    <xf numFmtId="0" fontId="12" fillId="0" borderId="8" xfId="4" applyFont="1" applyBorder="1" applyAlignment="1" applyProtection="1">
      <alignment horizontal="left" vertical="center"/>
      <protection locked="0"/>
    </xf>
    <xf numFmtId="0" fontId="12" fillId="0" borderId="10" xfId="4" applyFont="1" applyBorder="1" applyAlignment="1" applyProtection="1">
      <alignment horizontal="right" vertical="top"/>
      <protection locked="0"/>
    </xf>
    <xf numFmtId="0" fontId="12" fillId="0" borderId="10" xfId="4" applyFont="1" applyBorder="1" applyAlignment="1" applyProtection="1">
      <alignment horizontal="left" vertical="top"/>
      <protection locked="0"/>
    </xf>
    <xf numFmtId="14" fontId="12" fillId="0" borderId="10" xfId="4" applyNumberFormat="1" applyFont="1" applyBorder="1" applyAlignment="1" applyProtection="1">
      <alignment horizontal="center" vertical="top"/>
      <protection locked="0"/>
    </xf>
    <xf numFmtId="176" fontId="12" fillId="0" borderId="10" xfId="4" applyNumberFormat="1" applyFont="1" applyBorder="1" applyAlignment="1" applyProtection="1">
      <alignment horizontal="center" vertical="top"/>
      <protection locked="0"/>
    </xf>
    <xf numFmtId="0" fontId="12" fillId="0" borderId="10" xfId="4" applyFont="1" applyBorder="1" applyAlignment="1" applyProtection="1">
      <alignment horizontal="center" vertical="top"/>
      <protection locked="0"/>
    </xf>
    <xf numFmtId="177" fontId="12" fillId="0" borderId="10" xfId="4" applyNumberFormat="1" applyFont="1" applyBorder="1" applyAlignment="1" applyProtection="1">
      <alignment horizontal="center" vertical="top"/>
      <protection locked="0"/>
    </xf>
    <xf numFmtId="1" fontId="12" fillId="0" borderId="10" xfId="4" applyNumberFormat="1" applyFont="1" applyBorder="1" applyAlignment="1" applyProtection="1">
      <alignment horizontal="center" vertical="top"/>
      <protection locked="0"/>
    </xf>
    <xf numFmtId="179" fontId="12" fillId="0" borderId="10" xfId="4" applyNumberFormat="1" applyFont="1" applyBorder="1" applyAlignment="1" applyProtection="1">
      <alignment horizontal="center" vertical="top"/>
      <protection locked="0"/>
    </xf>
    <xf numFmtId="14" fontId="12" fillId="0" borderId="10" xfId="4" applyNumberFormat="1" applyFont="1" applyBorder="1" applyAlignment="1" applyProtection="1">
      <alignment horizontal="left" vertical="top"/>
      <protection locked="0"/>
    </xf>
    <xf numFmtId="10" fontId="12" fillId="0" borderId="10" xfId="3" applyNumberFormat="1" applyFont="1" applyBorder="1" applyAlignment="1" applyProtection="1">
      <alignment horizontal="right" vertical="top" wrapText="1"/>
      <protection locked="0"/>
    </xf>
    <xf numFmtId="10" fontId="12" fillId="0" borderId="10" xfId="3" applyNumberFormat="1" applyFont="1" applyBorder="1" applyAlignment="1" applyProtection="1">
      <alignment horizontal="right" vertical="top"/>
      <protection locked="0"/>
    </xf>
    <xf numFmtId="0" fontId="14" fillId="0" borderId="0" xfId="1" applyFont="1" applyFill="1">
      <alignment vertical="center"/>
    </xf>
    <xf numFmtId="0" fontId="10" fillId="0" borderId="0" xfId="1" applyFont="1" applyFill="1">
      <alignment vertical="center"/>
    </xf>
    <xf numFmtId="14" fontId="15" fillId="0" borderId="0" xfId="4" applyNumberFormat="1" applyFont="1" applyAlignment="1">
      <alignment vertical="center"/>
    </xf>
    <xf numFmtId="14" fontId="16" fillId="0" borderId="0" xfId="4" applyNumberFormat="1" applyFont="1" applyAlignment="1">
      <alignment vertical="center"/>
    </xf>
    <xf numFmtId="14" fontId="17" fillId="3" borderId="0" xfId="4" quotePrefix="1" applyNumberFormat="1" applyFont="1" applyFill="1"/>
    <xf numFmtId="14" fontId="17" fillId="3" borderId="0" xfId="4" applyNumberFormat="1" applyFont="1" applyFill="1" applyAlignment="1">
      <alignment vertical="center"/>
    </xf>
    <xf numFmtId="0" fontId="17" fillId="3" borderId="0" xfId="4" applyFont="1" applyFill="1"/>
    <xf numFmtId="176" fontId="19" fillId="3" borderId="0" xfId="4" applyNumberFormat="1" applyFont="1" applyFill="1" applyAlignment="1" applyProtection="1">
      <alignment vertical="center"/>
      <protection locked="0"/>
    </xf>
    <xf numFmtId="14" fontId="18" fillId="3" borderId="0" xfId="4" applyNumberFormat="1" applyFont="1" applyFill="1" applyAlignment="1">
      <alignment vertical="center"/>
    </xf>
    <xf numFmtId="14" fontId="17" fillId="0" borderId="11" xfId="4" applyNumberFormat="1" applyFont="1" applyBorder="1" applyAlignment="1" applyProtection="1">
      <alignment vertical="top"/>
      <protection locked="0"/>
    </xf>
    <xf numFmtId="14" fontId="17" fillId="0" borderId="11" xfId="4" applyNumberFormat="1" applyFont="1" applyBorder="1" applyAlignment="1" applyProtection="1">
      <alignment vertical="center"/>
      <protection locked="0"/>
    </xf>
    <xf numFmtId="0" fontId="17" fillId="0" borderId="11" xfId="4" applyFont="1" applyBorder="1" applyAlignment="1" applyProtection="1">
      <alignment vertical="top"/>
      <protection locked="0"/>
    </xf>
    <xf numFmtId="0" fontId="17" fillId="0" borderId="11" xfId="4" applyFont="1" applyBorder="1" applyAlignment="1" applyProtection="1">
      <alignment vertical="center" wrapText="1"/>
      <protection locked="0"/>
    </xf>
    <xf numFmtId="0" fontId="17" fillId="0" borderId="11" xfId="4" applyFont="1" applyBorder="1" applyAlignment="1" applyProtection="1">
      <alignment vertical="center"/>
      <protection locked="0"/>
    </xf>
    <xf numFmtId="0" fontId="17" fillId="0" borderId="0" xfId="4" applyFont="1" applyAlignment="1" applyProtection="1">
      <alignment vertical="top"/>
      <protection locked="0"/>
    </xf>
    <xf numFmtId="14" fontId="20" fillId="0" borderId="0" xfId="4" applyNumberFormat="1" applyFont="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Border="1" applyAlignment="1" applyProtection="1">
      <alignment horizontal="right" vertical="top"/>
      <protection locked="0"/>
    </xf>
    <xf numFmtId="14" fontId="17" fillId="0" borderId="13" xfId="4" applyNumberFormat="1" applyFont="1" applyBorder="1" applyAlignment="1" applyProtection="1">
      <alignment vertical="center"/>
      <protection locked="0"/>
    </xf>
    <xf numFmtId="0" fontId="17" fillId="0" borderId="13" xfId="4" applyFont="1" applyBorder="1" applyAlignment="1" applyProtection="1">
      <alignment vertical="top"/>
      <protection locked="0"/>
    </xf>
    <xf numFmtId="0" fontId="17" fillId="0" borderId="13" xfId="4" applyFont="1" applyBorder="1" applyAlignment="1" applyProtection="1">
      <alignment vertical="center"/>
      <protection locked="0"/>
    </xf>
    <xf numFmtId="14" fontId="20" fillId="0" borderId="0" xfId="4" applyNumberFormat="1" applyFont="1" applyAlignment="1" applyProtection="1">
      <alignment vertical="top"/>
      <protection locked="0"/>
    </xf>
    <xf numFmtId="14" fontId="17" fillId="0" borderId="0" xfId="4" applyNumberFormat="1" applyFont="1" applyAlignment="1" applyProtection="1">
      <alignment vertical="center"/>
      <protection locked="0"/>
    </xf>
    <xf numFmtId="0" fontId="17" fillId="0" borderId="14" xfId="4" applyFont="1" applyBorder="1" applyAlignment="1" applyProtection="1">
      <alignment vertical="center" wrapText="1"/>
      <protection locked="0"/>
    </xf>
    <xf numFmtId="14" fontId="17" fillId="0" borderId="0" xfId="4" applyNumberFormat="1" applyFont="1" applyAlignment="1" applyProtection="1">
      <alignment vertical="top"/>
      <protection locked="0"/>
    </xf>
    <xf numFmtId="14" fontId="20" fillId="0" borderId="13" xfId="4" applyNumberFormat="1" applyFont="1" applyBorder="1" applyAlignment="1" applyProtection="1">
      <alignment vertical="top"/>
      <protection locked="0"/>
    </xf>
    <xf numFmtId="0" fontId="17" fillId="0" borderId="13" xfId="4" applyFont="1" applyBorder="1" applyAlignment="1" applyProtection="1">
      <alignment vertical="center" wrapText="1"/>
      <protection locked="0"/>
    </xf>
    <xf numFmtId="14" fontId="20" fillId="0" borderId="14" xfId="4" applyNumberFormat="1" applyFont="1" applyBorder="1" applyAlignment="1" applyProtection="1">
      <alignment vertical="center" wrapText="1"/>
      <protection locked="0"/>
    </xf>
    <xf numFmtId="14" fontId="20" fillId="0" borderId="0" xfId="4" applyNumberFormat="1" applyFont="1" applyAlignment="1" applyProtection="1">
      <alignment horizontal="right" vertical="center" wrapText="1"/>
      <protection locked="0"/>
    </xf>
    <xf numFmtId="14" fontId="20" fillId="0" borderId="13" xfId="4" applyNumberFormat="1" applyFont="1" applyBorder="1" applyAlignment="1" applyProtection="1">
      <alignment vertical="center" wrapText="1"/>
      <protection locked="0"/>
    </xf>
    <xf numFmtId="0" fontId="17" fillId="0" borderId="13" xfId="4" applyFont="1" applyBorder="1" applyProtection="1">
      <protection locked="0"/>
    </xf>
    <xf numFmtId="0" fontId="17" fillId="0" borderId="0" xfId="4" applyFont="1" applyProtection="1">
      <protection locked="0"/>
    </xf>
    <xf numFmtId="14" fontId="17" fillId="0" borderId="0" xfId="4" applyNumberFormat="1" applyFont="1" applyProtection="1">
      <protection locked="0"/>
    </xf>
    <xf numFmtId="14" fontId="17" fillId="0" borderId="14" xfId="4" applyNumberFormat="1" applyFont="1" applyBorder="1" applyAlignment="1" applyProtection="1">
      <alignment vertical="center"/>
      <protection locked="0"/>
    </xf>
    <xf numFmtId="0" fontId="17" fillId="0" borderId="14" xfId="4" applyFont="1" applyBorder="1" applyProtection="1">
      <protection locked="0"/>
    </xf>
    <xf numFmtId="14" fontId="17" fillId="0" borderId="15" xfId="4" applyNumberFormat="1" applyFont="1" applyBorder="1" applyAlignment="1" applyProtection="1">
      <alignment vertical="center"/>
      <protection locked="0"/>
    </xf>
    <xf numFmtId="0" fontId="17" fillId="0" borderId="15" xfId="4" applyFont="1" applyBorder="1" applyAlignment="1" applyProtection="1">
      <alignment vertical="top"/>
      <protection locked="0"/>
    </xf>
    <xf numFmtId="14" fontId="20" fillId="0" borderId="14" xfId="4" applyNumberFormat="1" applyFont="1" applyBorder="1" applyProtection="1">
      <protection locked="0"/>
    </xf>
    <xf numFmtId="10" fontId="17" fillId="6" borderId="12" xfId="3" applyNumberFormat="1" applyFont="1" applyFill="1" applyBorder="1" applyProtection="1">
      <alignment vertical="center"/>
      <protection locked="0"/>
    </xf>
    <xf numFmtId="14" fontId="20" fillId="0" borderId="15" xfId="4" applyNumberFormat="1" applyFont="1" applyBorder="1" applyAlignment="1" applyProtection="1">
      <alignment horizontal="right" vertical="top"/>
      <protection locked="0"/>
    </xf>
    <xf numFmtId="14" fontId="20" fillId="0" borderId="11" xfId="4" applyNumberFormat="1" applyFont="1" applyBorder="1" applyAlignment="1" applyProtection="1">
      <alignment horizontal="right" vertical="top"/>
      <protection locked="0"/>
    </xf>
    <xf numFmtId="14" fontId="20" fillId="0" borderId="16" xfId="4" applyNumberFormat="1" applyFont="1" applyBorder="1" applyAlignment="1" applyProtection="1">
      <alignment horizontal="right" vertical="top"/>
      <protection locked="0"/>
    </xf>
    <xf numFmtId="14" fontId="17" fillId="0" borderId="16" xfId="4" applyNumberFormat="1" applyFont="1" applyBorder="1" applyAlignment="1" applyProtection="1">
      <alignment vertical="center"/>
      <protection locked="0"/>
    </xf>
    <xf numFmtId="0" fontId="17" fillId="0" borderId="16" xfId="4" applyFont="1" applyBorder="1" applyAlignment="1" applyProtection="1">
      <alignment vertical="top"/>
      <protection locked="0"/>
    </xf>
    <xf numFmtId="14" fontId="20" fillId="0" borderId="17" xfId="4" applyNumberFormat="1" applyFont="1" applyBorder="1" applyAlignment="1" applyProtection="1">
      <alignment vertical="top"/>
      <protection locked="0"/>
    </xf>
    <xf numFmtId="14" fontId="17" fillId="0" borderId="17" xfId="4" applyNumberFormat="1" applyFont="1" applyBorder="1" applyAlignment="1" applyProtection="1">
      <alignment vertical="center"/>
      <protection locked="0"/>
    </xf>
    <xf numFmtId="0" fontId="17" fillId="0" borderId="17" xfId="4" applyFont="1" applyBorder="1" applyAlignment="1" applyProtection="1">
      <alignment vertical="top"/>
      <protection locked="0"/>
    </xf>
    <xf numFmtId="0" fontId="17" fillId="0" borderId="14" xfId="4" applyFont="1" applyBorder="1" applyAlignment="1" applyProtection="1">
      <alignment vertical="center"/>
      <protection locked="0"/>
    </xf>
    <xf numFmtId="10" fontId="17" fillId="6" borderId="12" xfId="3" applyNumberFormat="1" applyFont="1" applyFill="1" applyBorder="1">
      <alignment vertical="center"/>
    </xf>
    <xf numFmtId="14" fontId="17" fillId="0" borderId="18" xfId="4" applyNumberFormat="1" applyFont="1" applyBorder="1" applyAlignment="1" applyProtection="1">
      <alignment horizontal="right" vertical="top"/>
      <protection locked="0"/>
    </xf>
    <xf numFmtId="14" fontId="17" fillId="0" borderId="18" xfId="4" applyNumberFormat="1" applyFont="1" applyBorder="1" applyAlignment="1" applyProtection="1">
      <alignment vertical="center"/>
      <protection locked="0"/>
    </xf>
    <xf numFmtId="0" fontId="17" fillId="0" borderId="18" xfId="4" applyFont="1" applyBorder="1" applyAlignment="1" applyProtection="1">
      <alignment vertical="top"/>
      <protection locked="0"/>
    </xf>
    <xf numFmtId="0" fontId="17" fillId="0" borderId="18" xfId="4" applyFont="1" applyBorder="1" applyAlignment="1" applyProtection="1">
      <alignment vertical="center"/>
      <protection locked="0"/>
    </xf>
    <xf numFmtId="14" fontId="16" fillId="0" borderId="0" xfId="4" applyNumberFormat="1" applyFont="1" applyAlignment="1" applyProtection="1">
      <alignment vertical="top"/>
      <protection locked="0"/>
    </xf>
    <xf numFmtId="14" fontId="16" fillId="0" borderId="0" xfId="4" applyNumberFormat="1" applyFont="1" applyAlignment="1" applyProtection="1">
      <alignment vertical="center"/>
      <protection locked="0"/>
    </xf>
    <xf numFmtId="0" fontId="16" fillId="0" borderId="0" xfId="4" applyFont="1" applyAlignment="1" applyProtection="1">
      <alignment vertical="top"/>
      <protection locked="0"/>
    </xf>
    <xf numFmtId="14" fontId="16" fillId="0" borderId="0" xfId="4" applyNumberFormat="1" applyFont="1" applyProtection="1">
      <protection locked="0"/>
    </xf>
    <xf numFmtId="180" fontId="16" fillId="0" borderId="0" xfId="3" applyNumberFormat="1" applyFont="1" applyProtection="1">
      <alignment vertical="center"/>
      <protection locked="0"/>
    </xf>
    <xf numFmtId="0" fontId="16" fillId="0" borderId="0" xfId="4" applyFont="1" applyProtection="1">
      <protection locked="0"/>
    </xf>
    <xf numFmtId="1" fontId="16" fillId="0" borderId="0" xfId="4" applyNumberFormat="1" applyFont="1" applyAlignment="1" applyProtection="1">
      <alignment vertical="center"/>
      <protection locked="0"/>
    </xf>
    <xf numFmtId="176" fontId="16" fillId="0" borderId="0" xfId="4" applyNumberFormat="1" applyFont="1" applyAlignment="1" applyProtection="1">
      <alignment vertical="center"/>
      <protection locked="0"/>
    </xf>
    <xf numFmtId="0" fontId="14" fillId="0" borderId="0" xfId="4" applyFont="1" applyAlignment="1">
      <alignment vertical="center"/>
    </xf>
    <xf numFmtId="0" fontId="16" fillId="7" borderId="1" xfId="4" applyFont="1" applyFill="1" applyBorder="1" applyAlignment="1">
      <alignment horizontal="left" wrapText="1"/>
    </xf>
    <xf numFmtId="14" fontId="16" fillId="0" borderId="0" xfId="4" applyNumberFormat="1" applyFont="1"/>
    <xf numFmtId="14" fontId="16" fillId="3" borderId="0" xfId="4" applyNumberFormat="1" applyFont="1" applyFill="1" applyAlignment="1">
      <alignment vertical="top"/>
    </xf>
    <xf numFmtId="14" fontId="22" fillId="4" borderId="19" xfId="4" applyNumberFormat="1" applyFont="1" applyFill="1" applyBorder="1" applyAlignment="1">
      <alignment horizontal="center" vertical="center"/>
    </xf>
    <xf numFmtId="14" fontId="16" fillId="0" borderId="0" xfId="4" applyNumberFormat="1" applyFont="1" applyAlignment="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0" fontId="23" fillId="0" borderId="0" xfId="4" applyFont="1"/>
    <xf numFmtId="14" fontId="16" fillId="0" borderId="19" xfId="4" applyNumberFormat="1" applyFont="1" applyBorder="1"/>
    <xf numFmtId="0" fontId="26" fillId="0" borderId="0" xfId="4" applyFont="1" applyAlignment="1" applyProtection="1">
      <alignment horizontal="center"/>
      <protection locked="0"/>
    </xf>
    <xf numFmtId="14" fontId="26" fillId="0" borderId="0" xfId="4" applyNumberFormat="1" applyFont="1" applyAlignment="1" applyProtection="1">
      <alignment horizontal="center"/>
      <protection locked="0"/>
    </xf>
    <xf numFmtId="0" fontId="26" fillId="0" borderId="0" xfId="4" applyFont="1" applyProtection="1">
      <protection locked="0"/>
    </xf>
    <xf numFmtId="0" fontId="26" fillId="0" borderId="0" xfId="4" applyFont="1" applyAlignment="1" applyProtection="1">
      <alignment horizontal="right"/>
      <protection locked="0"/>
    </xf>
    <xf numFmtId="0" fontId="26" fillId="0" borderId="0" xfId="4" applyFont="1" applyAlignment="1" applyProtection="1">
      <alignment horizontal="left"/>
      <protection locked="0"/>
    </xf>
    <xf numFmtId="14" fontId="26" fillId="0" borderId="0" xfId="4" applyNumberFormat="1" applyFont="1" applyProtection="1">
      <protection locked="0"/>
    </xf>
    <xf numFmtId="14" fontId="26" fillId="0" borderId="0" xfId="4" applyNumberFormat="1" applyFont="1" applyAlignment="1" applyProtection="1">
      <alignment horizontal="left"/>
      <protection locked="0"/>
    </xf>
    <xf numFmtId="10" fontId="12" fillId="0" borderId="7" xfId="6" applyNumberFormat="1" applyFont="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Alignment="1">
      <alignment horizontal="left" vertical="top"/>
    </xf>
    <xf numFmtId="0" fontId="17" fillId="0" borderId="0" xfId="4" applyFont="1" applyAlignment="1">
      <alignment vertical="top"/>
    </xf>
    <xf numFmtId="0" fontId="17" fillId="0" borderId="0" xfId="4" quotePrefix="1" applyFont="1" applyAlignment="1">
      <alignment horizontal="left" vertical="top"/>
    </xf>
    <xf numFmtId="14" fontId="17" fillId="0" borderId="0" xfId="4" applyNumberFormat="1" applyFont="1" applyAlignment="1">
      <alignment horizontal="left" vertical="top"/>
    </xf>
    <xf numFmtId="0" fontId="17" fillId="0" borderId="20" xfId="4" applyFont="1" applyBorder="1" applyAlignment="1">
      <alignment vertical="top"/>
    </xf>
    <xf numFmtId="0" fontId="17" fillId="0" borderId="20" xfId="4" applyFont="1" applyBorder="1" applyAlignment="1">
      <alignment horizontal="left" vertical="top"/>
    </xf>
    <xf numFmtId="1" fontId="17" fillId="0" borderId="0" xfId="4" applyNumberFormat="1" applyFont="1" applyAlignment="1">
      <alignment horizontal="left" vertical="top"/>
    </xf>
    <xf numFmtId="22" fontId="17" fillId="0" borderId="0" xfId="4" applyNumberFormat="1" applyFont="1" applyAlignment="1">
      <alignment horizontal="left" vertical="top"/>
    </xf>
    <xf numFmtId="14" fontId="17" fillId="0" borderId="0" xfId="4" applyNumberFormat="1" applyFont="1" applyAlignment="1">
      <alignment vertical="top"/>
    </xf>
    <xf numFmtId="0" fontId="25" fillId="0" borderId="0" xfId="0" applyFont="1"/>
    <xf numFmtId="178" fontId="13" fillId="5" borderId="4" xfId="4" applyNumberFormat="1" applyFont="1" applyFill="1" applyBorder="1" applyAlignment="1">
      <alignment horizontal="left" vertical="center"/>
    </xf>
    <xf numFmtId="178" fontId="13" fillId="5" borderId="5" xfId="4" applyNumberFormat="1" applyFont="1" applyFill="1" applyBorder="1" applyAlignment="1">
      <alignment horizontal="left" vertical="center"/>
    </xf>
    <xf numFmtId="0" fontId="12" fillId="0" borderId="9" xfId="4" applyFont="1" applyBorder="1" applyAlignment="1" applyProtection="1">
      <alignment horizontal="left" vertical="center"/>
      <protection locked="0"/>
    </xf>
    <xf numFmtId="178" fontId="13" fillId="5" borderId="6" xfId="4" applyNumberFormat="1" applyFont="1" applyFill="1" applyBorder="1" applyAlignment="1">
      <alignment horizontal="left" vertical="center"/>
    </xf>
    <xf numFmtId="0" fontId="12" fillId="0" borderId="7" xfId="4" applyFont="1" applyBorder="1" applyAlignment="1" applyProtection="1">
      <alignment vertical="top"/>
      <protection locked="0"/>
    </xf>
    <xf numFmtId="0" fontId="12" fillId="0" borderId="10" xfId="4" applyFont="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0" fontId="13" fillId="0" borderId="1" xfId="4" applyFont="1" applyBorder="1" applyAlignment="1">
      <alignment horizontal="left" vertical="center"/>
    </xf>
    <xf numFmtId="0" fontId="13" fillId="0" borderId="2" xfId="4" applyFont="1" applyBorder="1" applyAlignment="1">
      <alignment horizontal="left" vertical="center"/>
    </xf>
    <xf numFmtId="0" fontId="12" fillId="0" borderId="21" xfId="4" applyFont="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Alignment="1">
      <alignment horizontal="left" vertical="top" wrapText="1"/>
    </xf>
    <xf numFmtId="0" fontId="35" fillId="0" borderId="0" xfId="5" applyFont="1" applyAlignment="1">
      <alignment horizontal="left" vertical="top"/>
    </xf>
    <xf numFmtId="0" fontId="12" fillId="0" borderId="0" xfId="4" applyFont="1" applyAlignment="1">
      <alignment vertical="top"/>
    </xf>
    <xf numFmtId="0" fontId="12" fillId="0" borderId="0" xfId="5" applyFont="1" applyAlignment="1">
      <alignment horizontal="left" vertical="top"/>
    </xf>
    <xf numFmtId="14" fontId="35" fillId="0" borderId="0" xfId="5" applyNumberFormat="1" applyFont="1" applyAlignment="1">
      <alignment horizontal="left" vertical="top" wrapText="1"/>
    </xf>
    <xf numFmtId="0" fontId="25" fillId="0" borderId="0" xfId="5" applyFont="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Alignment="1">
      <alignment horizontal="left" vertical="top" wrapText="1"/>
    </xf>
    <xf numFmtId="0" fontId="38" fillId="0" borderId="0" xfId="5" applyFont="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Alignment="1">
      <alignment horizontal="left" vertical="top"/>
    </xf>
    <xf numFmtId="0" fontId="6" fillId="11" borderId="0" xfId="1" applyFont="1" applyFill="1" applyAlignment="1">
      <alignment horizontal="left" vertical="top"/>
    </xf>
    <xf numFmtId="0" fontId="3" fillId="11" borderId="0" xfId="1" applyFont="1" applyFill="1" applyAlignment="1">
      <alignment horizontal="left" vertical="center"/>
    </xf>
    <xf numFmtId="0" fontId="3" fillId="11" borderId="0" xfId="1" applyFont="1" applyFill="1">
      <alignment vertical="center"/>
    </xf>
    <xf numFmtId="14" fontId="3" fillId="11" borderId="0" xfId="1" applyNumberFormat="1" applyFont="1" applyFill="1" applyAlignment="1">
      <alignment vertical="top"/>
    </xf>
    <xf numFmtId="14" fontId="33" fillId="11" borderId="0" xfId="1" applyNumberFormat="1" applyFont="1" applyFill="1" applyAlignment="1">
      <alignment horizontal="left" vertical="top" wrapText="1"/>
    </xf>
    <xf numFmtId="0" fontId="19" fillId="11" borderId="0" xfId="1" applyFont="1" applyFill="1" applyAlignment="1">
      <alignment horizontal="center" vertical="top"/>
    </xf>
    <xf numFmtId="0" fontId="14" fillId="11" borderId="0" xfId="1" applyFont="1" applyFill="1" applyAlignment="1">
      <alignment horizontal="center" vertical="top"/>
    </xf>
    <xf numFmtId="0" fontId="3" fillId="11" borderId="0" xfId="1" applyFont="1" applyFill="1" applyAlignment="1">
      <alignment horizontal="center" vertical="top"/>
    </xf>
    <xf numFmtId="14" fontId="3" fillId="11" borderId="0" xfId="1" applyNumberFormat="1" applyFont="1" applyFill="1" applyAlignment="1">
      <alignment horizontal="center" vertical="top"/>
    </xf>
    <xf numFmtId="0" fontId="14" fillId="11" borderId="0" xfId="1" applyFont="1" applyFill="1" applyAlignment="1">
      <alignment horizontal="left" vertical="center"/>
    </xf>
    <xf numFmtId="1" fontId="3" fillId="11" borderId="0" xfId="1" applyNumberFormat="1" applyFont="1" applyFill="1" applyAlignment="1">
      <alignment horizontal="center" vertical="top"/>
    </xf>
    <xf numFmtId="0" fontId="19" fillId="11" borderId="0" xfId="2" applyFont="1" applyFill="1" applyAlignment="1">
      <alignment vertical="top" wrapText="1"/>
    </xf>
    <xf numFmtId="0" fontId="19" fillId="11" borderId="0" xfId="2" applyFont="1" applyFill="1" applyAlignment="1">
      <alignment vertical="top"/>
    </xf>
    <xf numFmtId="0" fontId="6" fillId="11" borderId="0" xfId="2" applyFont="1" applyFill="1" applyAlignment="1">
      <alignment horizontal="right" vertical="top"/>
    </xf>
    <xf numFmtId="0" fontId="6" fillId="11" borderId="0" xfId="2" applyFont="1" applyFill="1" applyAlignment="1">
      <alignment horizontal="right" vertical="center"/>
    </xf>
    <xf numFmtId="0" fontId="4" fillId="11" borderId="0" xfId="1" applyFont="1" applyFill="1" applyAlignment="1">
      <alignment horizontal="left" vertical="center"/>
    </xf>
    <xf numFmtId="0" fontId="29" fillId="11" borderId="0" xfId="1" applyFont="1" applyFill="1" applyAlignment="1">
      <alignment horizontal="left" vertical="top"/>
    </xf>
    <xf numFmtId="0" fontId="30" fillId="11" borderId="0" xfId="1" applyFont="1" applyFill="1" applyAlignment="1">
      <alignment horizontal="left" vertical="top"/>
    </xf>
    <xf numFmtId="0" fontId="31" fillId="11" borderId="0" xfId="2" applyFont="1" applyFill="1" applyAlignment="1">
      <alignment horizontal="right" vertical="center"/>
    </xf>
    <xf numFmtId="10" fontId="31" fillId="11" borderId="0" xfId="3" applyNumberFormat="1" applyFont="1" applyFill="1" applyAlignment="1">
      <alignment horizontal="right" vertical="center"/>
    </xf>
    <xf numFmtId="0" fontId="32" fillId="11" borderId="0" xfId="2" applyFont="1" applyFill="1" applyAlignment="1">
      <alignment vertical="top"/>
    </xf>
    <xf numFmtId="0" fontId="32" fillId="11" borderId="0" xfId="2" applyFont="1" applyFill="1" applyAlignment="1">
      <alignment horizontal="right" vertical="top"/>
    </xf>
    <xf numFmtId="0" fontId="28" fillId="11" borderId="0" xfId="1" applyFont="1" applyFill="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Alignment="1">
      <alignment horizontal="left" vertical="top" wrapText="1"/>
    </xf>
    <xf numFmtId="0" fontId="12" fillId="0" borderId="22" xfId="4" applyFont="1" applyBorder="1" applyAlignment="1" applyProtection="1">
      <alignment vertical="top"/>
      <protection locked="0"/>
    </xf>
    <xf numFmtId="0" fontId="12" fillId="0" borderId="22" xfId="4" applyFont="1" applyBorder="1" applyAlignment="1" applyProtection="1">
      <alignment horizontal="right" vertical="top"/>
      <protection locked="0"/>
    </xf>
    <xf numFmtId="0" fontId="12" fillId="0" borderId="22" xfId="4" applyFont="1" applyBorder="1" applyAlignment="1" applyProtection="1">
      <alignment horizontal="left" vertical="top"/>
      <protection locked="0"/>
    </xf>
    <xf numFmtId="14" fontId="12" fillId="0" borderId="22" xfId="4" applyNumberFormat="1" applyFont="1" applyBorder="1" applyAlignment="1" applyProtection="1">
      <alignment horizontal="center" vertical="top"/>
      <protection locked="0"/>
    </xf>
    <xf numFmtId="176" fontId="12" fillId="0" borderId="22" xfId="4" applyNumberFormat="1" applyFont="1" applyBorder="1" applyAlignment="1" applyProtection="1">
      <alignment horizontal="center" vertical="top"/>
      <protection locked="0"/>
    </xf>
    <xf numFmtId="0" fontId="12" fillId="0" borderId="22" xfId="4" applyFont="1" applyBorder="1" applyAlignment="1" applyProtection="1">
      <alignment horizontal="center" vertical="top"/>
      <protection locked="0"/>
    </xf>
    <xf numFmtId="177" fontId="12" fillId="0" borderId="22" xfId="4" applyNumberFormat="1" applyFont="1" applyBorder="1" applyAlignment="1" applyProtection="1">
      <alignment horizontal="center" vertical="top"/>
      <protection locked="0"/>
    </xf>
    <xf numFmtId="1" fontId="12" fillId="0" borderId="22" xfId="4" applyNumberFormat="1" applyFont="1" applyBorder="1" applyAlignment="1" applyProtection="1">
      <alignment horizontal="center" vertical="top"/>
      <protection locked="0"/>
    </xf>
    <xf numFmtId="179" fontId="12" fillId="0" borderId="22" xfId="4" applyNumberFormat="1" applyFont="1" applyBorder="1" applyAlignment="1" applyProtection="1">
      <alignment horizontal="center" vertical="top"/>
      <protection locked="0"/>
    </xf>
    <xf numFmtId="14" fontId="12" fillId="0" borderId="22" xfId="4" applyNumberFormat="1" applyFont="1" applyBorder="1" applyAlignment="1" applyProtection="1">
      <alignment horizontal="left" vertical="top"/>
      <protection locked="0"/>
    </xf>
    <xf numFmtId="10" fontId="12" fillId="0" borderId="22" xfId="3" applyNumberFormat="1" applyFont="1" applyBorder="1" applyAlignment="1" applyProtection="1">
      <alignment horizontal="right" vertical="top" wrapText="1"/>
      <protection locked="0"/>
    </xf>
    <xf numFmtId="10" fontId="12" fillId="0" borderId="22" xfId="3" applyNumberFormat="1" applyFont="1" applyBorder="1" applyAlignment="1" applyProtection="1">
      <alignment horizontal="right" vertical="top"/>
      <protection locked="0"/>
    </xf>
    <xf numFmtId="0" fontId="12" fillId="0" borderId="23" xfId="4" applyFont="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Border="1" applyAlignment="1" applyProtection="1">
      <alignment horizontal="left" vertical="top"/>
      <protection locked="0"/>
    </xf>
    <xf numFmtId="14" fontId="12" fillId="0" borderId="7" xfId="4" applyNumberFormat="1" applyFont="1" applyBorder="1" applyAlignment="1" applyProtection="1">
      <alignment horizontal="center" vertical="top"/>
      <protection locked="0"/>
    </xf>
    <xf numFmtId="176" fontId="12" fillId="0" borderId="7" xfId="4" applyNumberFormat="1" applyFont="1" applyBorder="1" applyAlignment="1" applyProtection="1">
      <alignment horizontal="center" vertical="top"/>
      <protection locked="0"/>
    </xf>
    <xf numFmtId="0" fontId="12" fillId="0" borderId="7" xfId="4" applyFont="1" applyBorder="1" applyAlignment="1" applyProtection="1">
      <alignment horizontal="center" vertical="top"/>
      <protection locked="0"/>
    </xf>
    <xf numFmtId="177" fontId="12" fillId="0" borderId="7" xfId="4" applyNumberFormat="1" applyFont="1" applyBorder="1" applyAlignment="1" applyProtection="1">
      <alignment horizontal="center" vertical="top"/>
      <protection locked="0"/>
    </xf>
    <xf numFmtId="1" fontId="12" fillId="0" borderId="7" xfId="4" applyNumberFormat="1" applyFont="1" applyBorder="1" applyAlignment="1" applyProtection="1">
      <alignment horizontal="center" vertical="top"/>
      <protection locked="0"/>
    </xf>
    <xf numFmtId="179" fontId="12" fillId="0" borderId="7" xfId="4" applyNumberFormat="1" applyFont="1" applyBorder="1" applyAlignment="1" applyProtection="1">
      <alignment horizontal="center" vertical="top"/>
      <protection locked="0"/>
    </xf>
    <xf numFmtId="14" fontId="12" fillId="0" borderId="7" xfId="4" applyNumberFormat="1" applyFont="1" applyBorder="1" applyAlignment="1" applyProtection="1">
      <alignment horizontal="left" vertical="top"/>
      <protection locked="0"/>
    </xf>
    <xf numFmtId="10" fontId="12" fillId="0" borderId="7" xfId="6" applyNumberFormat="1" applyFont="1" applyBorder="1" applyAlignment="1" applyProtection="1">
      <alignment horizontal="right" vertical="top"/>
      <protection locked="0"/>
    </xf>
    <xf numFmtId="0" fontId="12" fillId="0" borderId="25" xfId="4" applyFont="1" applyBorder="1" applyAlignment="1" applyProtection="1">
      <alignment vertical="top"/>
      <protection locked="0"/>
    </xf>
    <xf numFmtId="0" fontId="12" fillId="0" borderId="25" xfId="4" quotePrefix="1" applyFont="1" applyBorder="1" applyAlignment="1" applyProtection="1">
      <alignment horizontal="right" vertical="top"/>
      <protection locked="0"/>
    </xf>
    <xf numFmtId="0" fontId="12" fillId="0" borderId="25" xfId="4" applyFont="1" applyBorder="1" applyAlignment="1" applyProtection="1">
      <alignment horizontal="left" vertical="top"/>
      <protection locked="0"/>
    </xf>
    <xf numFmtId="14" fontId="12" fillId="0" borderId="25" xfId="4" applyNumberFormat="1" applyFont="1" applyBorder="1" applyAlignment="1" applyProtection="1">
      <alignment horizontal="center" vertical="top"/>
      <protection locked="0"/>
    </xf>
    <xf numFmtId="176" fontId="12" fillId="0" borderId="25" xfId="4" applyNumberFormat="1" applyFont="1" applyBorder="1" applyAlignment="1" applyProtection="1">
      <alignment horizontal="center" vertical="top"/>
      <protection locked="0"/>
    </xf>
    <xf numFmtId="0" fontId="12" fillId="0" borderId="25" xfId="4" applyFont="1" applyBorder="1" applyAlignment="1" applyProtection="1">
      <alignment horizontal="center" vertical="top"/>
      <protection locked="0"/>
    </xf>
    <xf numFmtId="177" fontId="12" fillId="0" borderId="25" xfId="4" applyNumberFormat="1" applyFont="1" applyBorder="1" applyAlignment="1" applyProtection="1">
      <alignment horizontal="center" vertical="top"/>
      <protection locked="0"/>
    </xf>
    <xf numFmtId="1" fontId="12" fillId="0" borderId="25" xfId="4" applyNumberFormat="1" applyFont="1" applyBorder="1" applyAlignment="1" applyProtection="1">
      <alignment horizontal="center" vertical="top"/>
      <protection locked="0"/>
    </xf>
    <xf numFmtId="179" fontId="12" fillId="0" borderId="25" xfId="4" applyNumberFormat="1" applyFont="1" applyBorder="1" applyAlignment="1" applyProtection="1">
      <alignment horizontal="center" vertical="top"/>
      <protection locked="0"/>
    </xf>
    <xf numFmtId="14" fontId="12" fillId="0" borderId="25" xfId="4" applyNumberFormat="1" applyFont="1" applyBorder="1" applyAlignment="1" applyProtection="1">
      <alignment horizontal="left" vertical="top"/>
      <protection locked="0"/>
    </xf>
    <xf numFmtId="10" fontId="12" fillId="0" borderId="25" xfId="6" applyNumberFormat="1" applyFont="1" applyBorder="1" applyAlignment="1" applyProtection="1">
      <alignment horizontal="right" vertical="top" wrapText="1"/>
      <protection locked="0"/>
    </xf>
    <xf numFmtId="10" fontId="12" fillId="0" borderId="25" xfId="6" applyNumberFormat="1" applyFont="1" applyBorder="1" applyAlignment="1" applyProtection="1">
      <alignment horizontal="right" vertical="top"/>
      <protection locked="0"/>
    </xf>
    <xf numFmtId="0" fontId="12" fillId="0" borderId="7" xfId="4" applyFont="1" applyBorder="1" applyAlignment="1" applyProtection="1">
      <alignment horizontal="right" vertical="top"/>
      <protection locked="0"/>
    </xf>
    <xf numFmtId="0" fontId="16" fillId="7" borderId="3" xfId="4" applyFont="1" applyFill="1" applyBorder="1" applyAlignment="1">
      <alignment horizontal="left" wrapText="1"/>
    </xf>
    <xf numFmtId="0" fontId="16" fillId="0" borderId="0" xfId="4" applyFont="1"/>
    <xf numFmtId="0" fontId="44" fillId="0" borderId="7" xfId="4" applyFont="1" applyBorder="1" applyAlignment="1" applyProtection="1">
      <alignment horizontal="left" vertical="top"/>
      <protection locked="0"/>
    </xf>
    <xf numFmtId="0" fontId="47" fillId="0" borderId="7" xfId="4" applyFont="1" applyBorder="1" applyAlignment="1" applyProtection="1">
      <alignment horizontal="left" vertical="top"/>
      <protection locked="0"/>
    </xf>
    <xf numFmtId="0" fontId="46" fillId="0" borderId="7" xfId="4" applyFont="1" applyBorder="1" applyAlignment="1" applyProtection="1">
      <alignment horizontal="left" vertical="top"/>
      <protection locked="0"/>
    </xf>
    <xf numFmtId="0" fontId="45" fillId="0" borderId="7" xfId="4" applyFont="1" applyBorder="1" applyAlignment="1" applyProtection="1">
      <alignment horizontal="left" vertical="top"/>
      <protection locked="0"/>
    </xf>
    <xf numFmtId="0" fontId="49" fillId="0" borderId="7" xfId="4" applyFont="1" applyBorder="1" applyAlignment="1" applyProtection="1">
      <alignment horizontal="left" vertical="top"/>
      <protection locked="0"/>
    </xf>
    <xf numFmtId="0" fontId="50" fillId="0" borderId="7" xfId="4" applyFont="1" applyBorder="1" applyAlignment="1" applyProtection="1">
      <alignment horizontal="left" vertical="top"/>
      <protection locked="0"/>
    </xf>
    <xf numFmtId="181" fontId="48" fillId="0" borderId="7" xfId="0" applyNumberFormat="1" applyFont="1" applyBorder="1"/>
    <xf numFmtId="0" fontId="48" fillId="0" borderId="7" xfId="0" applyFont="1" applyBorder="1" applyAlignment="1">
      <alignment horizontal="left"/>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Alignment="1">
      <alignment horizontal="left" vertical="center"/>
    </xf>
    <xf numFmtId="178" fontId="11" fillId="5" borderId="6" xfId="1" applyNumberFormat="1" applyFont="1" applyFill="1" applyBorder="1" applyAlignment="1">
      <alignment horizontal="left" vertical="center"/>
    </xf>
    <xf numFmtId="0" fontId="11" fillId="10" borderId="1" xfId="4" applyFont="1" applyFill="1" applyBorder="1" applyAlignment="1">
      <alignment horizontal="center" vertical="center" wrapText="1"/>
    </xf>
    <xf numFmtId="0" fontId="11" fillId="10" borderId="0" xfId="4" applyFont="1" applyFill="1" applyAlignment="1">
      <alignment horizontal="center" vertical="center" wrapText="1"/>
    </xf>
    <xf numFmtId="0" fontId="11" fillId="10" borderId="2" xfId="4" applyFont="1" applyFill="1" applyBorder="1" applyAlignment="1">
      <alignment horizontal="center" vertical="center"/>
    </xf>
    <xf numFmtId="0" fontId="11" fillId="10" borderId="24" xfId="4" applyFont="1" applyFill="1" applyBorder="1" applyAlignment="1">
      <alignment horizontal="center" vertical="center"/>
    </xf>
    <xf numFmtId="0" fontId="11" fillId="10" borderId="2" xfId="4" applyFont="1" applyFill="1" applyBorder="1" applyAlignment="1">
      <alignment horizontal="center" vertical="center" wrapText="1"/>
    </xf>
    <xf numFmtId="0" fontId="11" fillId="5" borderId="2" xfId="4" applyFont="1" applyFill="1" applyBorder="1" applyAlignment="1">
      <alignment horizontal="center" vertical="center"/>
    </xf>
    <xf numFmtId="0" fontId="11" fillId="10" borderId="3" xfId="4" applyFont="1" applyFill="1" applyBorder="1" applyAlignment="1">
      <alignment horizontal="center" vertical="center"/>
    </xf>
    <xf numFmtId="0" fontId="11" fillId="10" borderId="0" xfId="4" applyFont="1" applyFill="1" applyAlignment="1">
      <alignment horizontal="center" vertical="center"/>
    </xf>
    <xf numFmtId="0" fontId="11" fillId="10" borderId="1" xfId="4" applyFont="1" applyFill="1" applyBorder="1" applyAlignment="1">
      <alignment horizontal="center" vertical="center"/>
    </xf>
    <xf numFmtId="14" fontId="31" fillId="11" borderId="0" xfId="3" applyNumberFormat="1" applyFont="1" applyFill="1" applyAlignment="1">
      <alignment horizontal="center" vertical="center" wrapText="1"/>
    </xf>
    <xf numFmtId="14" fontId="11" fillId="10" borderId="2" xfId="4" applyNumberFormat="1" applyFont="1" applyFill="1" applyBorder="1" applyAlignment="1">
      <alignment horizontal="center" vertical="center"/>
    </xf>
    <xf numFmtId="14" fontId="51" fillId="10" borderId="2" xfId="4" applyNumberFormat="1" applyFont="1" applyFill="1" applyBorder="1" applyAlignment="1">
      <alignment horizontal="center" vertical="center"/>
    </xf>
    <xf numFmtId="176" fontId="11" fillId="5" borderId="2" xfId="4" applyNumberFormat="1" applyFont="1" applyFill="1" applyBorder="1" applyAlignment="1">
      <alignment horizontal="center" vertical="center" wrapText="1"/>
    </xf>
    <xf numFmtId="10" fontId="11" fillId="10" borderId="3" xfId="3" applyNumberFormat="1" applyFont="1" applyFill="1" applyBorder="1" applyAlignment="1">
      <alignment horizontal="center" vertical="center" wrapText="1"/>
    </xf>
    <xf numFmtId="14" fontId="11" fillId="10" borderId="2" xfId="4" applyNumberFormat="1" applyFont="1" applyFill="1" applyBorder="1" applyAlignment="1">
      <alignment horizontal="center" vertical="center" wrapText="1"/>
    </xf>
    <xf numFmtId="177" fontId="11" fillId="5" borderId="2" xfId="4" applyNumberFormat="1" applyFont="1" applyFill="1" applyBorder="1" applyAlignment="1">
      <alignment horizontal="center" vertical="center" wrapText="1"/>
    </xf>
    <xf numFmtId="1" fontId="11" fillId="5" borderId="2" xfId="4" applyNumberFormat="1" applyFont="1" applyFill="1" applyBorder="1" applyAlignment="1">
      <alignment horizontal="center" vertical="center" wrapText="1"/>
    </xf>
    <xf numFmtId="176" fontId="11" fillId="10" borderId="2" xfId="4" applyNumberFormat="1" applyFont="1" applyFill="1" applyBorder="1" applyAlignment="1">
      <alignment horizontal="center" vertical="center"/>
    </xf>
    <xf numFmtId="10" fontId="11" fillId="5" borderId="2" xfId="3" applyNumberFormat="1" applyFont="1" applyFill="1" applyBorder="1" applyAlignment="1">
      <alignment horizontal="center" vertical="center" wrapText="1"/>
    </xf>
    <xf numFmtId="0" fontId="17" fillId="0" borderId="0" xfId="4" applyFont="1" applyAlignment="1" applyProtection="1">
      <alignment horizontal="left" vertical="center" wrapText="1"/>
      <protection locked="0"/>
    </xf>
    <xf numFmtId="0" fontId="17" fillId="0" borderId="0" xfId="4" applyFont="1" applyAlignment="1" applyProtection="1">
      <alignment horizontal="left" vertical="center"/>
      <protection locked="0"/>
    </xf>
    <xf numFmtId="0" fontId="14" fillId="0" borderId="0" xfId="1" applyFont="1" applyFill="1" applyAlignment="1">
      <alignment horizontal="left" vertical="center"/>
    </xf>
    <xf numFmtId="0" fontId="10" fillId="0" borderId="0" xfId="1" applyFont="1" applyFill="1" applyAlignment="1">
      <alignment horizontal="left" vertical="center"/>
    </xf>
    <xf numFmtId="14" fontId="18" fillId="3" borderId="0" xfId="4" applyNumberFormat="1" applyFont="1" applyFill="1" applyAlignment="1">
      <alignment horizontal="right" vertical="center"/>
    </xf>
    <xf numFmtId="14" fontId="16" fillId="3" borderId="0" xfId="4" applyNumberFormat="1" applyFont="1" applyFill="1" applyAlignment="1">
      <alignment horizontal="left" vertical="top" wrapText="1"/>
    </xf>
    <xf numFmtId="14" fontId="21" fillId="8" borderId="19" xfId="4" applyNumberFormat="1" applyFont="1" applyFill="1" applyBorder="1" applyAlignment="1" applyProtection="1">
      <alignment horizontal="center" vertical="center"/>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10" fontId="16" fillId="0" borderId="15" xfId="6" applyNumberFormat="1" applyFont="1" applyBorder="1" applyAlignment="1"/>
    <xf numFmtId="10" fontId="16" fillId="0" borderId="26" xfId="6" applyNumberFormat="1" applyFont="1" applyBorder="1" applyAlignment="1"/>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23">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AnalysisReport!$C$7:$C$33</c:f>
              <c:numCache>
                <c:formatCode>yyyy-mm-dd</c:formatCode>
                <c:ptCount val="27"/>
                <c:pt idx="0">
                  <c:v>43526</c:v>
                </c:pt>
                <c:pt idx="1">
                  <c:v>43533</c:v>
                </c:pt>
                <c:pt idx="2">
                  <c:v>43540</c:v>
                </c:pt>
                <c:pt idx="3">
                  <c:v>43547</c:v>
                </c:pt>
                <c:pt idx="4">
                  <c:v>43554</c:v>
                </c:pt>
                <c:pt idx="5">
                  <c:v>43561</c:v>
                </c:pt>
                <c:pt idx="6">
                  <c:v>43568</c:v>
                </c:pt>
                <c:pt idx="7">
                  <c:v>43575</c:v>
                </c:pt>
                <c:pt idx="8">
                  <c:v>43582</c:v>
                </c:pt>
                <c:pt idx="9">
                  <c:v>43589</c:v>
                </c:pt>
                <c:pt idx="10">
                  <c:v>43596</c:v>
                </c:pt>
                <c:pt idx="11">
                  <c:v>43603</c:v>
                </c:pt>
                <c:pt idx="12">
                  <c:v>43610</c:v>
                </c:pt>
                <c:pt idx="13">
                  <c:v>43617</c:v>
                </c:pt>
                <c:pt idx="14">
                  <c:v>43624</c:v>
                </c:pt>
                <c:pt idx="15">
                  <c:v>43631</c:v>
                </c:pt>
                <c:pt idx="16">
                  <c:v>43638</c:v>
                </c:pt>
                <c:pt idx="17">
                  <c:v>43645</c:v>
                </c:pt>
                <c:pt idx="18">
                  <c:v>43652</c:v>
                </c:pt>
                <c:pt idx="19">
                  <c:v>43659</c:v>
                </c:pt>
                <c:pt idx="20">
                  <c:v>43666</c:v>
                </c:pt>
                <c:pt idx="21">
                  <c:v>43673</c:v>
                </c:pt>
                <c:pt idx="22">
                  <c:v>43680</c:v>
                </c:pt>
                <c:pt idx="23">
                  <c:v>43687</c:v>
                </c:pt>
                <c:pt idx="24">
                  <c:v>43694</c:v>
                </c:pt>
                <c:pt idx="25">
                  <c:v>43701</c:v>
                </c:pt>
                <c:pt idx="26">
                  <c:v>43708</c:v>
                </c:pt>
              </c:numCache>
            </c:numRef>
          </c:cat>
          <c:val>
            <c:numRef>
              <c:f>AnalysisReport!$F$7:$F$33</c:f>
              <c:numCache>
                <c:formatCode>0.00%</c:formatCode>
                <c:ptCount val="27"/>
                <c:pt idx="0">
                  <c:v>0</c:v>
                </c:pt>
                <c:pt idx="1">
                  <c:v>3.0395136778115502E-2</c:v>
                </c:pt>
                <c:pt idx="2">
                  <c:v>6.0790273556231005E-2</c:v>
                </c:pt>
                <c:pt idx="3">
                  <c:v>9.1185410334346503E-2</c:v>
                </c:pt>
                <c:pt idx="4">
                  <c:v>0.12158054711246201</c:v>
                </c:pt>
                <c:pt idx="5">
                  <c:v>0.18237082066869301</c:v>
                </c:pt>
                <c:pt idx="6">
                  <c:v>0.24316109422492402</c:v>
                </c:pt>
                <c:pt idx="7">
                  <c:v>0.28875379939209728</c:v>
                </c:pt>
                <c:pt idx="8">
                  <c:v>0.33434650455927051</c:v>
                </c:pt>
                <c:pt idx="9">
                  <c:v>0.37993920972644379</c:v>
                </c:pt>
                <c:pt idx="10">
                  <c:v>0.41641337386018235</c:v>
                </c:pt>
                <c:pt idx="11">
                  <c:v>0.46200607902735563</c:v>
                </c:pt>
                <c:pt idx="12">
                  <c:v>0.50759878419452886</c:v>
                </c:pt>
                <c:pt idx="13">
                  <c:v>0.55319148936170215</c:v>
                </c:pt>
                <c:pt idx="14">
                  <c:v>0.58966565349544076</c:v>
                </c:pt>
                <c:pt idx="15">
                  <c:v>0.63525835866261393</c:v>
                </c:pt>
                <c:pt idx="16">
                  <c:v>0.68085106382978722</c:v>
                </c:pt>
                <c:pt idx="17">
                  <c:v>0.7264437689969605</c:v>
                </c:pt>
                <c:pt idx="18">
                  <c:v>0.77203647416413379</c:v>
                </c:pt>
                <c:pt idx="19">
                  <c:v>0.81762917933130697</c:v>
                </c:pt>
                <c:pt idx="20">
                  <c:v>0.86322188449848025</c:v>
                </c:pt>
                <c:pt idx="21">
                  <c:v>0.90881458966565354</c:v>
                </c:pt>
                <c:pt idx="22">
                  <c:v>0.94224924012158051</c:v>
                </c:pt>
                <c:pt idx="23">
                  <c:v>0.95744680851063835</c:v>
                </c:pt>
                <c:pt idx="24">
                  <c:v>0.96960486322188455</c:v>
                </c:pt>
                <c:pt idx="25">
                  <c:v>0.98480243161094227</c:v>
                </c:pt>
                <c:pt idx="26">
                  <c:v>1</c:v>
                </c:pt>
              </c:numCache>
            </c:numRef>
          </c:val>
          <c:smooth val="0"/>
          <c:extLst>
            <c:ext xmlns:c16="http://schemas.microsoft.com/office/drawing/2014/chart" uri="{C3380CC4-5D6E-409C-BE32-E72D297353CC}">
              <c16:uniqueId val="{00000000-388B-4A6E-AB76-3A563DECD194}"/>
            </c:ext>
          </c:extLst>
        </c:ser>
        <c:dLbls>
          <c:showLegendKey val="0"/>
          <c:showVal val="0"/>
          <c:showCatName val="0"/>
          <c:showSerName val="0"/>
          <c:showPercent val="0"/>
          <c:showBubbleSize val="0"/>
        </c:dLbls>
        <c:marker val="1"/>
        <c:smooth val="0"/>
        <c:axId val="175284360"/>
        <c:axId val="175284688"/>
      </c:lineChart>
      <c:dateAx>
        <c:axId val="175284360"/>
        <c:scaling>
          <c:orientation val="minMax"/>
        </c:scaling>
        <c:delete val="0"/>
        <c:axPos val="b"/>
        <c:numFmt formatCode="yyyy-mm-dd" sourceLinked="1"/>
        <c:majorTickMark val="out"/>
        <c:minorTickMark val="none"/>
        <c:tickLblPos val="nextTo"/>
        <c:txPr>
          <a:bodyPr rot="-2700000" vert="horz"/>
          <a:lstStyle/>
          <a:p>
            <a:pPr>
              <a:defRPr/>
            </a:pPr>
            <a:endParaRPr lang="ko-KR"/>
          </a:p>
        </c:txPr>
        <c:crossAx val="175284688"/>
        <c:crosses val="autoZero"/>
        <c:auto val="1"/>
        <c:lblOffset val="100"/>
        <c:baseTimeUnit val="days"/>
      </c:dateAx>
      <c:valAx>
        <c:axId val="175284688"/>
        <c:scaling>
          <c:orientation val="minMax"/>
        </c:scaling>
        <c:delete val="0"/>
        <c:axPos val="l"/>
        <c:majorGridlines/>
        <c:numFmt formatCode="0.00%" sourceLinked="1"/>
        <c:majorTickMark val="out"/>
        <c:minorTickMark val="none"/>
        <c:tickLblPos val="nextTo"/>
        <c:crossAx val="175284360"/>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44</xdr:col>
      <xdr:colOff>0</xdr:colOff>
      <xdr:row>3</xdr:row>
      <xdr:rowOff>55880</xdr:rowOff>
    </xdr:from>
    <xdr:to>
      <xdr:col>44</xdr:col>
      <xdr:colOff>0</xdr:colOff>
      <xdr:row>27</xdr:row>
      <xdr:rowOff>0</xdr:rowOff>
    </xdr:to>
    <xdr:cxnSp macro="">
      <xdr:nvCxnSpPr>
        <xdr:cNvPr id="23390" name="직선 화살표 연결선 23389">
          <a:extLst>
            <a:ext uri="{FF2B5EF4-FFF2-40B4-BE49-F238E27FC236}">
              <a16:creationId xmlns:a16="http://schemas.microsoft.com/office/drawing/2014/main" id="{8CDBF205-0343-4B5B-B27B-3EC8EDBAE174}"/>
            </a:ext>
          </a:extLst>
        </xdr:cNvPr>
        <xdr:cNvCxnSpPr/>
      </xdr:nvCxnSpPr>
      <xdr:spPr>
        <a:xfrm>
          <a:off x="20869275" y="741680"/>
          <a:ext cx="0" cy="381127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3</xdr:row>
      <xdr:rowOff>55880</xdr:rowOff>
    </xdr:from>
    <xdr:to>
      <xdr:col>60</xdr:col>
      <xdr:colOff>0</xdr:colOff>
      <xdr:row>27</xdr:row>
      <xdr:rowOff>0</xdr:rowOff>
    </xdr:to>
    <xdr:cxnSp macro="">
      <xdr:nvCxnSpPr>
        <xdr:cNvPr id="23391" name="직선 화살표 연결선 23390">
          <a:extLst>
            <a:ext uri="{FF2B5EF4-FFF2-40B4-BE49-F238E27FC236}">
              <a16:creationId xmlns:a16="http://schemas.microsoft.com/office/drawing/2014/main" id="{35BB2443-6880-4842-98EB-43CE388DD38F}"/>
            </a:ext>
          </a:extLst>
        </xdr:cNvPr>
        <xdr:cNvCxnSpPr/>
      </xdr:nvCxnSpPr>
      <xdr:spPr>
        <a:xfrm>
          <a:off x="33061275" y="741680"/>
          <a:ext cx="0" cy="381127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3</xdr:row>
      <xdr:rowOff>55880</xdr:rowOff>
    </xdr:from>
    <xdr:to>
      <xdr:col>32</xdr:col>
      <xdr:colOff>40822</xdr:colOff>
      <xdr:row>27</xdr:row>
      <xdr:rowOff>0</xdr:rowOff>
    </xdr:to>
    <xdr:cxnSp macro="">
      <xdr:nvCxnSpPr>
        <xdr:cNvPr id="23392" name="직선 화살표 연결선 23391">
          <a:extLst>
            <a:ext uri="{FF2B5EF4-FFF2-40B4-BE49-F238E27FC236}">
              <a16:creationId xmlns:a16="http://schemas.microsoft.com/office/drawing/2014/main" id="{850EAEA3-9708-44BA-8B66-9727B8534909}"/>
            </a:ext>
          </a:extLst>
        </xdr:cNvPr>
        <xdr:cNvCxnSpPr/>
      </xdr:nvCxnSpPr>
      <xdr:spPr>
        <a:xfrm>
          <a:off x="9289597" y="741680"/>
          <a:ext cx="0" cy="38112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26</xdr:row>
      <xdr:rowOff>28575</xdr:rowOff>
    </xdr:from>
    <xdr:to>
      <xdr:col>52</xdr:col>
      <xdr:colOff>81643</xdr:colOff>
      <xdr:row>26</xdr:row>
      <xdr:rowOff>142875</xdr:rowOff>
    </xdr:to>
    <xdr:sp macro="" textlink="">
      <xdr:nvSpPr>
        <xdr:cNvPr id="23427" name="직사각형 23426">
          <a:extLst>
            <a:ext uri="{FF2B5EF4-FFF2-40B4-BE49-F238E27FC236}">
              <a16:creationId xmlns:a16="http://schemas.microsoft.com/office/drawing/2014/main" id="{32AE4C5C-8A9E-42EF-94EA-64AC15E356AF}"/>
            </a:ext>
          </a:extLst>
        </xdr:cNvPr>
        <xdr:cNvSpPr/>
      </xdr:nvSpPr>
      <xdr:spPr>
        <a:xfrm>
          <a:off x="10412185" y="4410075"/>
          <a:ext cx="1775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26</xdr:row>
      <xdr:rowOff>85725</xdr:rowOff>
    </xdr:from>
    <xdr:to>
      <xdr:col>40</xdr:col>
      <xdr:colOff>20410</xdr:colOff>
      <xdr:row>26</xdr:row>
      <xdr:rowOff>85725</xdr:rowOff>
    </xdr:to>
    <xdr:cxnSp macro="">
      <xdr:nvCxnSpPr>
        <xdr:cNvPr id="23428" name="직선 화살표 연결선 23427">
          <a:extLst>
            <a:ext uri="{FF2B5EF4-FFF2-40B4-BE49-F238E27FC236}">
              <a16:creationId xmlns:a16="http://schemas.microsoft.com/office/drawing/2014/main" id="{0EC80B8A-64B4-4049-BD8F-5411F7B8AE81}"/>
            </a:ext>
          </a:extLst>
        </xdr:cNvPr>
        <xdr:cNvCxnSpPr/>
      </xdr:nvCxnSpPr>
      <xdr:spPr>
        <a:xfrm>
          <a:off x="10412185" y="44672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20410</xdr:colOff>
      <xdr:row>25</xdr:row>
      <xdr:rowOff>28575</xdr:rowOff>
    </xdr:from>
    <xdr:to>
      <xdr:col>40</xdr:col>
      <xdr:colOff>20410</xdr:colOff>
      <xdr:row>25</xdr:row>
      <xdr:rowOff>142875</xdr:rowOff>
    </xdr:to>
    <xdr:sp macro="" textlink="">
      <xdr:nvSpPr>
        <xdr:cNvPr id="23429" name="직사각형 23428">
          <a:extLst>
            <a:ext uri="{FF2B5EF4-FFF2-40B4-BE49-F238E27FC236}">
              <a16:creationId xmlns:a16="http://schemas.microsoft.com/office/drawing/2014/main" id="{C2B7541B-F410-466B-9A95-44FEDBC7118F}"/>
            </a:ext>
          </a:extLst>
        </xdr:cNvPr>
        <xdr:cNvSpPr/>
      </xdr:nvSpPr>
      <xdr:spPr>
        <a:xfrm>
          <a:off x="9983560" y="4238625"/>
          <a:ext cx="4286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20410</xdr:colOff>
      <xdr:row>25</xdr:row>
      <xdr:rowOff>85725</xdr:rowOff>
    </xdr:from>
    <xdr:to>
      <xdr:col>37</xdr:col>
      <xdr:colOff>20410</xdr:colOff>
      <xdr:row>25</xdr:row>
      <xdr:rowOff>85725</xdr:rowOff>
    </xdr:to>
    <xdr:cxnSp macro="">
      <xdr:nvCxnSpPr>
        <xdr:cNvPr id="23430" name="직선 화살표 연결선 23429">
          <a:extLst>
            <a:ext uri="{FF2B5EF4-FFF2-40B4-BE49-F238E27FC236}">
              <a16:creationId xmlns:a16="http://schemas.microsoft.com/office/drawing/2014/main" id="{2FB0D157-E71F-4A71-98D6-940566305FCB}"/>
            </a:ext>
          </a:extLst>
        </xdr:cNvPr>
        <xdr:cNvCxnSpPr/>
      </xdr:nvCxnSpPr>
      <xdr:spPr>
        <a:xfrm>
          <a:off x="9983560" y="42957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24</xdr:row>
      <xdr:rowOff>28575</xdr:rowOff>
    </xdr:from>
    <xdr:to>
      <xdr:col>37</xdr:col>
      <xdr:colOff>20410</xdr:colOff>
      <xdr:row>24</xdr:row>
      <xdr:rowOff>142875</xdr:rowOff>
    </xdr:to>
    <xdr:sp macro="" textlink="">
      <xdr:nvSpPr>
        <xdr:cNvPr id="23431" name="직사각형 23430">
          <a:extLst>
            <a:ext uri="{FF2B5EF4-FFF2-40B4-BE49-F238E27FC236}">
              <a16:creationId xmlns:a16="http://schemas.microsoft.com/office/drawing/2014/main" id="{B7B6ADCC-6373-4DF0-9983-70996C7F34A0}"/>
            </a:ext>
          </a:extLst>
        </xdr:cNvPr>
        <xdr:cNvSpPr/>
      </xdr:nvSpPr>
      <xdr:spPr>
        <a:xfrm>
          <a:off x="9697810" y="4067175"/>
          <a:ext cx="2857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24</xdr:row>
      <xdr:rowOff>85725</xdr:rowOff>
    </xdr:from>
    <xdr:to>
      <xdr:col>35</xdr:col>
      <xdr:colOff>20410</xdr:colOff>
      <xdr:row>24</xdr:row>
      <xdr:rowOff>85725</xdr:rowOff>
    </xdr:to>
    <xdr:cxnSp macro="">
      <xdr:nvCxnSpPr>
        <xdr:cNvPr id="23432" name="직선 화살표 연결선 23431">
          <a:extLst>
            <a:ext uri="{FF2B5EF4-FFF2-40B4-BE49-F238E27FC236}">
              <a16:creationId xmlns:a16="http://schemas.microsoft.com/office/drawing/2014/main" id="{F6848AF8-AD27-45CD-9812-3EAB172DA13D}"/>
            </a:ext>
          </a:extLst>
        </xdr:cNvPr>
        <xdr:cNvCxnSpPr/>
      </xdr:nvCxnSpPr>
      <xdr:spPr>
        <a:xfrm>
          <a:off x="9697810" y="41243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23</xdr:row>
      <xdr:rowOff>28575</xdr:rowOff>
    </xdr:from>
    <xdr:to>
      <xdr:col>35</xdr:col>
      <xdr:colOff>20410</xdr:colOff>
      <xdr:row>23</xdr:row>
      <xdr:rowOff>142875</xdr:rowOff>
    </xdr:to>
    <xdr:sp macro="" textlink="">
      <xdr:nvSpPr>
        <xdr:cNvPr id="23433" name="직사각형 23432">
          <a:extLst>
            <a:ext uri="{FF2B5EF4-FFF2-40B4-BE49-F238E27FC236}">
              <a16:creationId xmlns:a16="http://schemas.microsoft.com/office/drawing/2014/main" id="{A24B85CB-C858-428D-A4A4-8D22FB8D601C}"/>
            </a:ext>
          </a:extLst>
        </xdr:cNvPr>
        <xdr:cNvSpPr/>
      </xdr:nvSpPr>
      <xdr:spPr>
        <a:xfrm>
          <a:off x="9065078" y="3895725"/>
          <a:ext cx="63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23</xdr:row>
      <xdr:rowOff>85725</xdr:rowOff>
    </xdr:from>
    <xdr:to>
      <xdr:col>30</xdr:col>
      <xdr:colOff>102053</xdr:colOff>
      <xdr:row>23</xdr:row>
      <xdr:rowOff>85725</xdr:rowOff>
    </xdr:to>
    <xdr:cxnSp macro="">
      <xdr:nvCxnSpPr>
        <xdr:cNvPr id="23434" name="직선 화살표 연결선 23433">
          <a:extLst>
            <a:ext uri="{FF2B5EF4-FFF2-40B4-BE49-F238E27FC236}">
              <a16:creationId xmlns:a16="http://schemas.microsoft.com/office/drawing/2014/main" id="{36A878B1-621C-4C23-9FCB-92C6A9671A2C}"/>
            </a:ext>
          </a:extLst>
        </xdr:cNvPr>
        <xdr:cNvCxnSpPr/>
      </xdr:nvCxnSpPr>
      <xdr:spPr>
        <a:xfrm>
          <a:off x="9065078" y="3952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22</xdr:row>
      <xdr:rowOff>28575</xdr:rowOff>
    </xdr:from>
    <xdr:to>
      <xdr:col>52</xdr:col>
      <xdr:colOff>81643</xdr:colOff>
      <xdr:row>22</xdr:row>
      <xdr:rowOff>142875</xdr:rowOff>
    </xdr:to>
    <xdr:sp macro="" textlink="">
      <xdr:nvSpPr>
        <xdr:cNvPr id="23435" name="직사각형 23434">
          <a:extLst>
            <a:ext uri="{FF2B5EF4-FFF2-40B4-BE49-F238E27FC236}">
              <a16:creationId xmlns:a16="http://schemas.microsoft.com/office/drawing/2014/main" id="{8F8CF9BB-A72E-47E5-8927-AAFC8BD911FF}"/>
            </a:ext>
          </a:extLst>
        </xdr:cNvPr>
        <xdr:cNvSpPr/>
      </xdr:nvSpPr>
      <xdr:spPr>
        <a:xfrm>
          <a:off x="9065078" y="3724275"/>
          <a:ext cx="31228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22</xdr:row>
      <xdr:rowOff>85725</xdr:rowOff>
    </xdr:from>
    <xdr:to>
      <xdr:col>30</xdr:col>
      <xdr:colOff>102053</xdr:colOff>
      <xdr:row>22</xdr:row>
      <xdr:rowOff>85725</xdr:rowOff>
    </xdr:to>
    <xdr:cxnSp macro="">
      <xdr:nvCxnSpPr>
        <xdr:cNvPr id="23436" name="직선 화살표 연결선 23435">
          <a:extLst>
            <a:ext uri="{FF2B5EF4-FFF2-40B4-BE49-F238E27FC236}">
              <a16:creationId xmlns:a16="http://schemas.microsoft.com/office/drawing/2014/main" id="{122DB676-BF3F-423F-9CB3-4A394B434861}"/>
            </a:ext>
          </a:extLst>
        </xdr:cNvPr>
        <xdr:cNvCxnSpPr/>
      </xdr:nvCxnSpPr>
      <xdr:spPr>
        <a:xfrm>
          <a:off x="9065078" y="37814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122465</xdr:colOff>
      <xdr:row>19</xdr:row>
      <xdr:rowOff>28575</xdr:rowOff>
    </xdr:from>
    <xdr:to>
      <xdr:col>52</xdr:col>
      <xdr:colOff>81643</xdr:colOff>
      <xdr:row>19</xdr:row>
      <xdr:rowOff>142875</xdr:rowOff>
    </xdr:to>
    <xdr:sp macro="" textlink="">
      <xdr:nvSpPr>
        <xdr:cNvPr id="23437" name="직사각형 23436">
          <a:extLst>
            <a:ext uri="{FF2B5EF4-FFF2-40B4-BE49-F238E27FC236}">
              <a16:creationId xmlns:a16="http://schemas.microsoft.com/office/drawing/2014/main" id="{1477C3B0-C40F-48ED-A04A-4AFDFC884F1F}"/>
            </a:ext>
          </a:extLst>
        </xdr:cNvPr>
        <xdr:cNvSpPr/>
      </xdr:nvSpPr>
      <xdr:spPr>
        <a:xfrm>
          <a:off x="10942865" y="3248025"/>
          <a:ext cx="12450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122465</xdr:colOff>
      <xdr:row>19</xdr:row>
      <xdr:rowOff>85725</xdr:rowOff>
    </xdr:from>
    <xdr:to>
      <xdr:col>43</xdr:col>
      <xdr:colOff>122465</xdr:colOff>
      <xdr:row>19</xdr:row>
      <xdr:rowOff>85725</xdr:rowOff>
    </xdr:to>
    <xdr:cxnSp macro="">
      <xdr:nvCxnSpPr>
        <xdr:cNvPr id="23438" name="직선 화살표 연결선 23437">
          <a:extLst>
            <a:ext uri="{FF2B5EF4-FFF2-40B4-BE49-F238E27FC236}">
              <a16:creationId xmlns:a16="http://schemas.microsoft.com/office/drawing/2014/main" id="{62FB0FE7-0BB8-4FDE-8358-9CBF8123D4E6}"/>
            </a:ext>
          </a:extLst>
        </xdr:cNvPr>
        <xdr:cNvCxnSpPr/>
      </xdr:nvCxnSpPr>
      <xdr:spPr>
        <a:xfrm>
          <a:off x="10942865" y="33051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18</xdr:row>
      <xdr:rowOff>28575</xdr:rowOff>
    </xdr:from>
    <xdr:to>
      <xdr:col>43</xdr:col>
      <xdr:colOff>122465</xdr:colOff>
      <xdr:row>18</xdr:row>
      <xdr:rowOff>142875</xdr:rowOff>
    </xdr:to>
    <xdr:sp macro="" textlink="">
      <xdr:nvSpPr>
        <xdr:cNvPr id="23439" name="직사각형 23438">
          <a:extLst>
            <a:ext uri="{FF2B5EF4-FFF2-40B4-BE49-F238E27FC236}">
              <a16:creationId xmlns:a16="http://schemas.microsoft.com/office/drawing/2014/main" id="{30153905-68A8-43A7-A55C-3CAC4145ED5B}"/>
            </a:ext>
          </a:extLst>
        </xdr:cNvPr>
        <xdr:cNvSpPr/>
      </xdr:nvSpPr>
      <xdr:spPr>
        <a:xfrm>
          <a:off x="9697810" y="3076575"/>
          <a:ext cx="1245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18</xdr:row>
      <xdr:rowOff>85725</xdr:rowOff>
    </xdr:from>
    <xdr:to>
      <xdr:col>35</xdr:col>
      <xdr:colOff>20410</xdr:colOff>
      <xdr:row>18</xdr:row>
      <xdr:rowOff>85725</xdr:rowOff>
    </xdr:to>
    <xdr:cxnSp macro="">
      <xdr:nvCxnSpPr>
        <xdr:cNvPr id="23440" name="직선 화살표 연결선 23439">
          <a:extLst>
            <a:ext uri="{FF2B5EF4-FFF2-40B4-BE49-F238E27FC236}">
              <a16:creationId xmlns:a16="http://schemas.microsoft.com/office/drawing/2014/main" id="{EE37B4A2-0916-42D6-BBCC-B0B9F62ADA00}"/>
            </a:ext>
          </a:extLst>
        </xdr:cNvPr>
        <xdr:cNvCxnSpPr/>
      </xdr:nvCxnSpPr>
      <xdr:spPr>
        <a:xfrm>
          <a:off x="9697810" y="31337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17</xdr:row>
      <xdr:rowOff>28575</xdr:rowOff>
    </xdr:from>
    <xdr:to>
      <xdr:col>52</xdr:col>
      <xdr:colOff>81643</xdr:colOff>
      <xdr:row>17</xdr:row>
      <xdr:rowOff>142875</xdr:rowOff>
    </xdr:to>
    <xdr:sp macro="" textlink="">
      <xdr:nvSpPr>
        <xdr:cNvPr id="23441" name="직사각형 23440">
          <a:extLst>
            <a:ext uri="{FF2B5EF4-FFF2-40B4-BE49-F238E27FC236}">
              <a16:creationId xmlns:a16="http://schemas.microsoft.com/office/drawing/2014/main" id="{98F4DD07-3976-4E37-BA94-220A9E7865A7}"/>
            </a:ext>
          </a:extLst>
        </xdr:cNvPr>
        <xdr:cNvSpPr/>
      </xdr:nvSpPr>
      <xdr:spPr>
        <a:xfrm>
          <a:off x="9697810" y="2905125"/>
          <a:ext cx="249010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17</xdr:row>
      <xdr:rowOff>85725</xdr:rowOff>
    </xdr:from>
    <xdr:to>
      <xdr:col>35</xdr:col>
      <xdr:colOff>20410</xdr:colOff>
      <xdr:row>17</xdr:row>
      <xdr:rowOff>85725</xdr:rowOff>
    </xdr:to>
    <xdr:cxnSp macro="">
      <xdr:nvCxnSpPr>
        <xdr:cNvPr id="23442" name="직선 화살표 연결선 23441">
          <a:extLst>
            <a:ext uri="{FF2B5EF4-FFF2-40B4-BE49-F238E27FC236}">
              <a16:creationId xmlns:a16="http://schemas.microsoft.com/office/drawing/2014/main" id="{CAFE89EC-5BA6-4E06-8C23-936A6111F962}"/>
            </a:ext>
          </a:extLst>
        </xdr:cNvPr>
        <xdr:cNvCxnSpPr/>
      </xdr:nvCxnSpPr>
      <xdr:spPr>
        <a:xfrm>
          <a:off x="9697810"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13</xdr:row>
      <xdr:rowOff>28575</xdr:rowOff>
    </xdr:from>
    <xdr:to>
      <xdr:col>37</xdr:col>
      <xdr:colOff>20410</xdr:colOff>
      <xdr:row>13</xdr:row>
      <xdr:rowOff>142875</xdr:rowOff>
    </xdr:to>
    <xdr:sp macro="" textlink="">
      <xdr:nvSpPr>
        <xdr:cNvPr id="23443" name="직사각형 23442">
          <a:extLst>
            <a:ext uri="{FF2B5EF4-FFF2-40B4-BE49-F238E27FC236}">
              <a16:creationId xmlns:a16="http://schemas.microsoft.com/office/drawing/2014/main" id="{19AC45DF-1D2B-4576-B2C5-D4B058B68886}"/>
            </a:ext>
          </a:extLst>
        </xdr:cNvPr>
        <xdr:cNvSpPr/>
      </xdr:nvSpPr>
      <xdr:spPr>
        <a:xfrm>
          <a:off x="9697810" y="2276475"/>
          <a:ext cx="2857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13</xdr:row>
      <xdr:rowOff>85725</xdr:rowOff>
    </xdr:from>
    <xdr:to>
      <xdr:col>35</xdr:col>
      <xdr:colOff>20410</xdr:colOff>
      <xdr:row>13</xdr:row>
      <xdr:rowOff>85725</xdr:rowOff>
    </xdr:to>
    <xdr:cxnSp macro="">
      <xdr:nvCxnSpPr>
        <xdr:cNvPr id="23444" name="직선 화살표 연결선 23443">
          <a:extLst>
            <a:ext uri="{FF2B5EF4-FFF2-40B4-BE49-F238E27FC236}">
              <a16:creationId xmlns:a16="http://schemas.microsoft.com/office/drawing/2014/main" id="{06AFEFB8-FF55-4EEF-ACCD-711A26567B68}"/>
            </a:ext>
          </a:extLst>
        </xdr:cNvPr>
        <xdr:cNvCxnSpPr/>
      </xdr:nvCxnSpPr>
      <xdr:spPr>
        <a:xfrm>
          <a:off x="9697810" y="23336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12</xdr:row>
      <xdr:rowOff>28575</xdr:rowOff>
    </xdr:from>
    <xdr:to>
      <xdr:col>37</xdr:col>
      <xdr:colOff>20410</xdr:colOff>
      <xdr:row>12</xdr:row>
      <xdr:rowOff>142875</xdr:rowOff>
    </xdr:to>
    <xdr:sp macro="" textlink="">
      <xdr:nvSpPr>
        <xdr:cNvPr id="23445" name="직사각형 23444">
          <a:extLst>
            <a:ext uri="{FF2B5EF4-FFF2-40B4-BE49-F238E27FC236}">
              <a16:creationId xmlns:a16="http://schemas.microsoft.com/office/drawing/2014/main" id="{874AA88B-3205-4E76-AF24-B97271F8A471}"/>
            </a:ext>
          </a:extLst>
        </xdr:cNvPr>
        <xdr:cNvSpPr/>
      </xdr:nvSpPr>
      <xdr:spPr>
        <a:xfrm>
          <a:off x="9697810" y="2105025"/>
          <a:ext cx="2857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12</xdr:row>
      <xdr:rowOff>85725</xdr:rowOff>
    </xdr:from>
    <xdr:to>
      <xdr:col>35</xdr:col>
      <xdr:colOff>20410</xdr:colOff>
      <xdr:row>12</xdr:row>
      <xdr:rowOff>85725</xdr:rowOff>
    </xdr:to>
    <xdr:cxnSp macro="">
      <xdr:nvCxnSpPr>
        <xdr:cNvPr id="23446" name="직선 화살표 연결선 23445">
          <a:extLst>
            <a:ext uri="{FF2B5EF4-FFF2-40B4-BE49-F238E27FC236}">
              <a16:creationId xmlns:a16="http://schemas.microsoft.com/office/drawing/2014/main" id="{6ED17184-EB48-424D-9582-C866E22CB9AF}"/>
            </a:ext>
          </a:extLst>
        </xdr:cNvPr>
        <xdr:cNvCxnSpPr/>
      </xdr:nvCxnSpPr>
      <xdr:spPr>
        <a:xfrm>
          <a:off x="9697810" y="21621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81643</xdr:colOff>
      <xdr:row>10</xdr:row>
      <xdr:rowOff>28575</xdr:rowOff>
    </xdr:from>
    <xdr:to>
      <xdr:col>57</xdr:col>
      <xdr:colOff>0</xdr:colOff>
      <xdr:row>10</xdr:row>
      <xdr:rowOff>142875</xdr:rowOff>
    </xdr:to>
    <xdr:sp macro="" textlink="">
      <xdr:nvSpPr>
        <xdr:cNvPr id="23447" name="직사각형 23446">
          <a:extLst>
            <a:ext uri="{FF2B5EF4-FFF2-40B4-BE49-F238E27FC236}">
              <a16:creationId xmlns:a16="http://schemas.microsoft.com/office/drawing/2014/main" id="{E2A2DFFB-A26E-4F71-898C-A5951CD77CEC}"/>
            </a:ext>
          </a:extLst>
        </xdr:cNvPr>
        <xdr:cNvSpPr/>
      </xdr:nvSpPr>
      <xdr:spPr>
        <a:xfrm>
          <a:off x="12187918" y="1781175"/>
          <a:ext cx="63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81643</xdr:colOff>
      <xdr:row>10</xdr:row>
      <xdr:rowOff>85725</xdr:rowOff>
    </xdr:from>
    <xdr:to>
      <xdr:col>52</xdr:col>
      <xdr:colOff>81643</xdr:colOff>
      <xdr:row>10</xdr:row>
      <xdr:rowOff>85725</xdr:rowOff>
    </xdr:to>
    <xdr:cxnSp macro="">
      <xdr:nvCxnSpPr>
        <xdr:cNvPr id="23448" name="직선 화살표 연결선 23447">
          <a:extLst>
            <a:ext uri="{FF2B5EF4-FFF2-40B4-BE49-F238E27FC236}">
              <a16:creationId xmlns:a16="http://schemas.microsoft.com/office/drawing/2014/main" id="{A8E0DD6D-3DA2-4518-8301-082846E538FD}"/>
            </a:ext>
          </a:extLst>
        </xdr:cNvPr>
        <xdr:cNvCxnSpPr/>
      </xdr:nvCxnSpPr>
      <xdr:spPr>
        <a:xfrm>
          <a:off x="12187918" y="18383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9</xdr:row>
      <xdr:rowOff>28575</xdr:rowOff>
    </xdr:from>
    <xdr:to>
      <xdr:col>52</xdr:col>
      <xdr:colOff>81643</xdr:colOff>
      <xdr:row>9</xdr:row>
      <xdr:rowOff>142875</xdr:rowOff>
    </xdr:to>
    <xdr:sp macro="" textlink="">
      <xdr:nvSpPr>
        <xdr:cNvPr id="23449" name="직사각형 23448">
          <a:extLst>
            <a:ext uri="{FF2B5EF4-FFF2-40B4-BE49-F238E27FC236}">
              <a16:creationId xmlns:a16="http://schemas.microsoft.com/office/drawing/2014/main" id="{572A28C6-1C18-4991-A0E9-481C6242A22B}"/>
            </a:ext>
          </a:extLst>
        </xdr:cNvPr>
        <xdr:cNvSpPr/>
      </xdr:nvSpPr>
      <xdr:spPr>
        <a:xfrm>
          <a:off x="10412185" y="1609725"/>
          <a:ext cx="1775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9</xdr:row>
      <xdr:rowOff>85725</xdr:rowOff>
    </xdr:from>
    <xdr:to>
      <xdr:col>40</xdr:col>
      <xdr:colOff>20410</xdr:colOff>
      <xdr:row>9</xdr:row>
      <xdr:rowOff>85725</xdr:rowOff>
    </xdr:to>
    <xdr:cxnSp macro="">
      <xdr:nvCxnSpPr>
        <xdr:cNvPr id="23450" name="직선 화살표 연결선 23449">
          <a:extLst>
            <a:ext uri="{FF2B5EF4-FFF2-40B4-BE49-F238E27FC236}">
              <a16:creationId xmlns:a16="http://schemas.microsoft.com/office/drawing/2014/main" id="{19B2A7A9-F019-4DCF-843C-CFC878BD1B58}"/>
            </a:ext>
          </a:extLst>
        </xdr:cNvPr>
        <xdr:cNvCxnSpPr/>
      </xdr:nvCxnSpPr>
      <xdr:spPr>
        <a:xfrm>
          <a:off x="10412185" y="1666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20410</xdr:colOff>
      <xdr:row>8</xdr:row>
      <xdr:rowOff>28575</xdr:rowOff>
    </xdr:from>
    <xdr:to>
      <xdr:col>40</xdr:col>
      <xdr:colOff>20410</xdr:colOff>
      <xdr:row>8</xdr:row>
      <xdr:rowOff>142875</xdr:rowOff>
    </xdr:to>
    <xdr:sp macro="" textlink="">
      <xdr:nvSpPr>
        <xdr:cNvPr id="23451" name="직사각형 23450">
          <a:extLst>
            <a:ext uri="{FF2B5EF4-FFF2-40B4-BE49-F238E27FC236}">
              <a16:creationId xmlns:a16="http://schemas.microsoft.com/office/drawing/2014/main" id="{23D2167C-0FF0-4F66-AA60-792F9F467F55}"/>
            </a:ext>
          </a:extLst>
        </xdr:cNvPr>
        <xdr:cNvSpPr/>
      </xdr:nvSpPr>
      <xdr:spPr>
        <a:xfrm>
          <a:off x="9983560" y="1438275"/>
          <a:ext cx="4286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20410</xdr:colOff>
      <xdr:row>8</xdr:row>
      <xdr:rowOff>85725</xdr:rowOff>
    </xdr:from>
    <xdr:to>
      <xdr:col>37</xdr:col>
      <xdr:colOff>20410</xdr:colOff>
      <xdr:row>8</xdr:row>
      <xdr:rowOff>85725</xdr:rowOff>
    </xdr:to>
    <xdr:cxnSp macro="">
      <xdr:nvCxnSpPr>
        <xdr:cNvPr id="23452" name="직선 화살표 연결선 23451">
          <a:extLst>
            <a:ext uri="{FF2B5EF4-FFF2-40B4-BE49-F238E27FC236}">
              <a16:creationId xmlns:a16="http://schemas.microsoft.com/office/drawing/2014/main" id="{84DDD801-0CA6-46F8-9BF0-FD4D5A943FA6}"/>
            </a:ext>
          </a:extLst>
        </xdr:cNvPr>
        <xdr:cNvCxnSpPr/>
      </xdr:nvCxnSpPr>
      <xdr:spPr>
        <a:xfrm>
          <a:off x="9983560" y="14954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7</xdr:row>
      <xdr:rowOff>28575</xdr:rowOff>
    </xdr:from>
    <xdr:to>
      <xdr:col>37</xdr:col>
      <xdr:colOff>20410</xdr:colOff>
      <xdr:row>7</xdr:row>
      <xdr:rowOff>142875</xdr:rowOff>
    </xdr:to>
    <xdr:sp macro="" textlink="">
      <xdr:nvSpPr>
        <xdr:cNvPr id="23453" name="직사각형 23452">
          <a:extLst>
            <a:ext uri="{FF2B5EF4-FFF2-40B4-BE49-F238E27FC236}">
              <a16:creationId xmlns:a16="http://schemas.microsoft.com/office/drawing/2014/main" id="{11FA44BB-CFB3-4F9A-9805-7529D1CF84C2}"/>
            </a:ext>
          </a:extLst>
        </xdr:cNvPr>
        <xdr:cNvSpPr/>
      </xdr:nvSpPr>
      <xdr:spPr>
        <a:xfrm>
          <a:off x="9697810" y="1266825"/>
          <a:ext cx="2857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7</xdr:row>
      <xdr:rowOff>85725</xdr:rowOff>
    </xdr:from>
    <xdr:to>
      <xdr:col>35</xdr:col>
      <xdr:colOff>20410</xdr:colOff>
      <xdr:row>7</xdr:row>
      <xdr:rowOff>85725</xdr:rowOff>
    </xdr:to>
    <xdr:cxnSp macro="">
      <xdr:nvCxnSpPr>
        <xdr:cNvPr id="23454" name="직선 화살표 연결선 23453">
          <a:extLst>
            <a:ext uri="{FF2B5EF4-FFF2-40B4-BE49-F238E27FC236}">
              <a16:creationId xmlns:a16="http://schemas.microsoft.com/office/drawing/2014/main" id="{DD4B99CA-3310-4F80-93F1-9DC382594B56}"/>
            </a:ext>
          </a:extLst>
        </xdr:cNvPr>
        <xdr:cNvCxnSpPr/>
      </xdr:nvCxnSpPr>
      <xdr:spPr>
        <a:xfrm>
          <a:off x="9697810" y="13239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6</xdr:row>
      <xdr:rowOff>28575</xdr:rowOff>
    </xdr:from>
    <xdr:to>
      <xdr:col>35</xdr:col>
      <xdr:colOff>20410</xdr:colOff>
      <xdr:row>6</xdr:row>
      <xdr:rowOff>142875</xdr:rowOff>
    </xdr:to>
    <xdr:sp macro="" textlink="">
      <xdr:nvSpPr>
        <xdr:cNvPr id="23455" name="직사각형 23454">
          <a:extLst>
            <a:ext uri="{FF2B5EF4-FFF2-40B4-BE49-F238E27FC236}">
              <a16:creationId xmlns:a16="http://schemas.microsoft.com/office/drawing/2014/main" id="{F63DCDFA-F655-4D82-B713-D7B8C8C5A569}"/>
            </a:ext>
          </a:extLst>
        </xdr:cNvPr>
        <xdr:cNvSpPr/>
      </xdr:nvSpPr>
      <xdr:spPr>
        <a:xfrm>
          <a:off x="9065078" y="1095375"/>
          <a:ext cx="63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6</xdr:row>
      <xdr:rowOff>85725</xdr:rowOff>
    </xdr:from>
    <xdr:to>
      <xdr:col>30</xdr:col>
      <xdr:colOff>102053</xdr:colOff>
      <xdr:row>6</xdr:row>
      <xdr:rowOff>85725</xdr:rowOff>
    </xdr:to>
    <xdr:cxnSp macro="">
      <xdr:nvCxnSpPr>
        <xdr:cNvPr id="23456" name="직선 화살표 연결선 23455">
          <a:extLst>
            <a:ext uri="{FF2B5EF4-FFF2-40B4-BE49-F238E27FC236}">
              <a16:creationId xmlns:a16="http://schemas.microsoft.com/office/drawing/2014/main" id="{47835417-DD10-4EED-AEA0-4B257276F9C4}"/>
            </a:ext>
          </a:extLst>
        </xdr:cNvPr>
        <xdr:cNvCxnSpPr/>
      </xdr:nvCxnSpPr>
      <xdr:spPr>
        <a:xfrm>
          <a:off x="9065078" y="11525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5</xdr:row>
      <xdr:rowOff>28575</xdr:rowOff>
    </xdr:from>
    <xdr:to>
      <xdr:col>57</xdr:col>
      <xdr:colOff>0</xdr:colOff>
      <xdr:row>5</xdr:row>
      <xdr:rowOff>142875</xdr:rowOff>
    </xdr:to>
    <xdr:sp macro="" textlink="">
      <xdr:nvSpPr>
        <xdr:cNvPr id="23457" name="직사각형 23456">
          <a:extLst>
            <a:ext uri="{FF2B5EF4-FFF2-40B4-BE49-F238E27FC236}">
              <a16:creationId xmlns:a16="http://schemas.microsoft.com/office/drawing/2014/main" id="{102C87F4-3CE9-4EFB-96A2-24DF125717AE}"/>
            </a:ext>
          </a:extLst>
        </xdr:cNvPr>
        <xdr:cNvSpPr/>
      </xdr:nvSpPr>
      <xdr:spPr>
        <a:xfrm>
          <a:off x="9065078" y="923925"/>
          <a:ext cx="375557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5</xdr:row>
      <xdr:rowOff>85725</xdr:rowOff>
    </xdr:from>
    <xdr:to>
      <xdr:col>30</xdr:col>
      <xdr:colOff>102053</xdr:colOff>
      <xdr:row>5</xdr:row>
      <xdr:rowOff>85725</xdr:rowOff>
    </xdr:to>
    <xdr:cxnSp macro="">
      <xdr:nvCxnSpPr>
        <xdr:cNvPr id="23458" name="직선 화살표 연결선 23457">
          <a:extLst>
            <a:ext uri="{FF2B5EF4-FFF2-40B4-BE49-F238E27FC236}">
              <a16:creationId xmlns:a16="http://schemas.microsoft.com/office/drawing/2014/main" id="{39019068-0ED9-4FBA-B1F6-E5C0FA3F56AF}"/>
            </a:ext>
          </a:extLst>
        </xdr:cNvPr>
        <xdr:cNvCxnSpPr/>
      </xdr:nvCxnSpPr>
      <xdr:spPr>
        <a:xfrm>
          <a:off x="9065078" y="98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4</xdr:row>
      <xdr:rowOff>19050</xdr:rowOff>
    </xdr:from>
    <xdr:to>
      <xdr:col>57</xdr:col>
      <xdr:colOff>0</xdr:colOff>
      <xdr:row>4</xdr:row>
      <xdr:rowOff>133350</xdr:rowOff>
    </xdr:to>
    <xdr:sp macro="" textlink="">
      <xdr:nvSpPr>
        <xdr:cNvPr id="23459" name="직사각형 23458">
          <a:extLst>
            <a:ext uri="{FF2B5EF4-FFF2-40B4-BE49-F238E27FC236}">
              <a16:creationId xmlns:a16="http://schemas.microsoft.com/office/drawing/2014/main" id="{B9700172-C666-4D2F-91CA-054CBA9D7BB7}"/>
            </a:ext>
          </a:extLst>
        </xdr:cNvPr>
        <xdr:cNvSpPr/>
      </xdr:nvSpPr>
      <xdr:spPr>
        <a:xfrm>
          <a:off x="9065078" y="762000"/>
          <a:ext cx="375557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4</xdr:row>
      <xdr:rowOff>76200</xdr:rowOff>
    </xdr:from>
    <xdr:to>
      <xdr:col>30</xdr:col>
      <xdr:colOff>102053</xdr:colOff>
      <xdr:row>4</xdr:row>
      <xdr:rowOff>76200</xdr:rowOff>
    </xdr:to>
    <xdr:cxnSp macro="">
      <xdr:nvCxnSpPr>
        <xdr:cNvPr id="23460" name="직선 화살표 연결선 23459">
          <a:extLst>
            <a:ext uri="{FF2B5EF4-FFF2-40B4-BE49-F238E27FC236}">
              <a16:creationId xmlns:a16="http://schemas.microsoft.com/office/drawing/2014/main" id="{14A1F285-1B08-442E-9921-AA744CBF72C4}"/>
            </a:ext>
          </a:extLst>
        </xdr:cNvPr>
        <xdr:cNvCxnSpPr/>
      </xdr:nvCxnSpPr>
      <xdr:spPr>
        <a:xfrm>
          <a:off x="9065078" y="819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a:extLst>
            <a:ext uri="{FF2B5EF4-FFF2-40B4-BE49-F238E27FC236}">
              <a16:creationId xmlns:a16="http://schemas.microsoft.com/office/drawing/2014/main" id="{6786EAC8-473C-4F73-AF20-EE28F32A95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2.75"/>
  <cols>
    <col min="1" max="1" width="28.25" style="97" bestFit="1" customWidth="1"/>
    <col min="2" max="2" width="23.125" style="96" bestFit="1" customWidth="1"/>
    <col min="3" max="3" width="21.75" style="96" customWidth="1"/>
    <col min="4" max="4" width="27.375" style="96" bestFit="1" customWidth="1"/>
    <col min="5" max="5" width="12.875" style="96" bestFit="1" customWidth="1"/>
    <col min="6" max="6" width="17.75" style="96" bestFit="1" customWidth="1"/>
    <col min="7" max="7" width="21.875" style="97" bestFit="1" customWidth="1"/>
    <col min="8" max="8" width="23.75" style="97" bestFit="1" customWidth="1"/>
    <col min="9" max="9" width="9.75" style="97" bestFit="1" customWidth="1"/>
    <col min="10" max="10" width="25.125" style="97" bestFit="1" customWidth="1"/>
    <col min="11" max="11" width="4.875" style="97" bestFit="1" customWidth="1"/>
    <col min="12" max="12" width="25.125" style="97" bestFit="1" customWidth="1"/>
    <col min="13" max="13" width="4.875" style="97" bestFit="1" customWidth="1"/>
    <col min="14" max="14" width="23" style="97" bestFit="1" customWidth="1"/>
    <col min="15" max="15" width="14.5" style="97" customWidth="1"/>
    <col min="16" max="16" width="28.375" style="97" bestFit="1" customWidth="1"/>
    <col min="17" max="17" width="9.5" style="97" bestFit="1" customWidth="1"/>
    <col min="18" max="18" width="27.75" style="97" bestFit="1" customWidth="1"/>
    <col min="19" max="19" width="4.875" style="97" bestFit="1" customWidth="1"/>
    <col min="20" max="20" width="25" style="97" bestFit="1" customWidth="1"/>
    <col min="21" max="21" width="4.375" style="97" bestFit="1" customWidth="1"/>
    <col min="22" max="22" width="23" style="97" bestFit="1" customWidth="1"/>
    <col min="23" max="23" width="8.125" style="97" bestFit="1" customWidth="1"/>
    <col min="24" max="24" width="22.625" style="97" bestFit="1" customWidth="1"/>
    <col min="25" max="25" width="9.5" style="97" bestFit="1" customWidth="1"/>
    <col min="26" max="26" width="26.25" style="97" bestFit="1" customWidth="1"/>
    <col min="27" max="27" width="7.875" style="97" bestFit="1" customWidth="1"/>
    <col min="28" max="28" width="21.25" style="97" bestFit="1" customWidth="1"/>
    <col min="29" max="29" width="15.625" style="97" bestFit="1" customWidth="1"/>
    <col min="30" max="30" width="23.5" style="97" bestFit="1" customWidth="1"/>
    <col min="31" max="31" width="15.25" style="97" bestFit="1" customWidth="1"/>
    <col min="32" max="32" width="22.625" style="97" bestFit="1" customWidth="1"/>
    <col min="33" max="33" width="60.875" style="97" bestFit="1" customWidth="1"/>
    <col min="34" max="34" width="28.375" style="97" bestFit="1" customWidth="1"/>
    <col min="35" max="35" width="11.5" style="97" bestFit="1" customWidth="1"/>
    <col min="36" max="36" width="25.125" style="97" bestFit="1" customWidth="1"/>
    <col min="37" max="37" width="4" style="97" bestFit="1" customWidth="1"/>
    <col min="38" max="38" width="14.875" style="97" bestFit="1" customWidth="1"/>
    <col min="39" max="39" width="11.625" style="97" bestFit="1" customWidth="1"/>
    <col min="40" max="40" width="22.625" style="97" bestFit="1" customWidth="1"/>
    <col min="41" max="41" width="5.875" style="97" bestFit="1" customWidth="1"/>
    <col min="42" max="42" width="15.875" style="97" bestFit="1" customWidth="1"/>
    <col min="43" max="43" width="6.375" style="97" bestFit="1" customWidth="1"/>
    <col min="44" max="44" width="13.25" style="97" bestFit="1" customWidth="1"/>
    <col min="45" max="45" width="3.25" style="97" bestFit="1" customWidth="1"/>
    <col min="46" max="46" width="14.875" style="97" bestFit="1" customWidth="1"/>
    <col min="47" max="47" width="28.625" style="97" bestFit="1" customWidth="1"/>
    <col min="48" max="48" width="22.625" style="97" bestFit="1" customWidth="1"/>
    <col min="49" max="49" width="5.375" style="97" bestFit="1" customWidth="1"/>
    <col min="50" max="50" width="15.875" style="97" bestFit="1" customWidth="1"/>
    <col min="51" max="51" width="10" style="97"/>
    <col min="52" max="52" width="13.25" style="97" bestFit="1" customWidth="1"/>
    <col min="53" max="53" width="10" style="97"/>
    <col min="54" max="54" width="14.875" style="97" bestFit="1" customWidth="1"/>
    <col min="55" max="55" width="10" style="97"/>
    <col min="56" max="56" width="22.625" style="97" bestFit="1" customWidth="1"/>
    <col min="57" max="57" width="10" style="97"/>
    <col min="58" max="58" width="15.875" style="97" bestFit="1" customWidth="1"/>
    <col min="59" max="59" width="10" style="97"/>
    <col min="60" max="60" width="13.25" style="97" bestFit="1" customWidth="1"/>
    <col min="61" max="61" width="10" style="97"/>
    <col min="62" max="62" width="14.875" style="97" bestFit="1" customWidth="1"/>
    <col min="63" max="63" width="10" style="97"/>
    <col min="64" max="64" width="22.625" style="97" bestFit="1" customWidth="1"/>
    <col min="65" max="65" width="10" style="97"/>
    <col min="66" max="66" width="33.75" style="97" bestFit="1" customWidth="1"/>
    <col min="67" max="16384" width="10" style="97"/>
  </cols>
  <sheetData>
    <row r="1" spans="1:64" s="96" customFormat="1">
      <c r="A1" s="95" t="s">
        <v>4</v>
      </c>
      <c r="B1" s="95" t="s">
        <v>5</v>
      </c>
      <c r="C1" s="95" t="s">
        <v>6</v>
      </c>
      <c r="D1" s="95" t="s">
        <v>7</v>
      </c>
      <c r="E1" s="95" t="s">
        <v>8</v>
      </c>
      <c r="F1" s="95" t="s">
        <v>9</v>
      </c>
    </row>
    <row r="2" spans="1:64">
      <c r="A2" s="97" t="s">
        <v>10</v>
      </c>
      <c r="B2" s="96" t="s">
        <v>11</v>
      </c>
      <c r="E2" s="96" t="s">
        <v>12</v>
      </c>
    </row>
    <row r="3" spans="1:64">
      <c r="A3" s="97" t="s">
        <v>398</v>
      </c>
      <c r="B3" s="96" t="s">
        <v>11</v>
      </c>
      <c r="E3" s="96" t="s">
        <v>12</v>
      </c>
    </row>
    <row r="4" spans="1:64">
      <c r="A4" s="97" t="s">
        <v>13</v>
      </c>
      <c r="B4" s="105" t="s">
        <v>399</v>
      </c>
      <c r="E4" s="96" t="s">
        <v>12</v>
      </c>
    </row>
    <row r="5" spans="1:64">
      <c r="A5" s="97" t="s">
        <v>14</v>
      </c>
      <c r="B5" s="96" t="s">
        <v>15</v>
      </c>
      <c r="E5" s="96" t="s">
        <v>12</v>
      </c>
    </row>
    <row r="6" spans="1:64">
      <c r="A6" s="97" t="s">
        <v>16</v>
      </c>
      <c r="B6" s="105" t="s">
        <v>17</v>
      </c>
      <c r="E6" s="96" t="s">
        <v>12</v>
      </c>
    </row>
    <row r="7" spans="1:64">
      <c r="A7" s="97" t="s">
        <v>18</v>
      </c>
      <c r="B7" s="97" t="s">
        <v>11</v>
      </c>
      <c r="E7" s="96" t="s">
        <v>12</v>
      </c>
    </row>
    <row r="8" spans="1:64">
      <c r="A8" s="97" t="s">
        <v>19</v>
      </c>
      <c r="B8" s="98" t="s">
        <v>969</v>
      </c>
      <c r="C8" s="96" t="s">
        <v>1045</v>
      </c>
      <c r="D8" s="96">
        <v>82</v>
      </c>
      <c r="E8" s="96" t="s">
        <v>20</v>
      </c>
    </row>
    <row r="9" spans="1:64">
      <c r="A9" s="97" t="s">
        <v>21</v>
      </c>
      <c r="B9" s="99">
        <v>43387</v>
      </c>
      <c r="E9" s="96" t="s">
        <v>12</v>
      </c>
    </row>
    <row r="10" spans="1:64">
      <c r="A10" s="100" t="s">
        <v>22</v>
      </c>
      <c r="B10" s="101" t="s">
        <v>23</v>
      </c>
      <c r="C10" s="101"/>
      <c r="D10" s="101"/>
      <c r="E10" s="101" t="s">
        <v>12</v>
      </c>
      <c r="F10" s="101"/>
    </row>
    <row r="11" spans="1:64">
      <c r="A11" s="97" t="s">
        <v>400</v>
      </c>
      <c r="B11" s="99" t="s">
        <v>24</v>
      </c>
      <c r="C11" s="96" t="s">
        <v>1103</v>
      </c>
      <c r="D11" s="96" t="s">
        <v>25</v>
      </c>
      <c r="E11" s="102">
        <v>1</v>
      </c>
      <c r="F11" s="103" t="s">
        <v>26</v>
      </c>
      <c r="G11" s="104">
        <v>43510</v>
      </c>
      <c r="H11" s="103" t="s">
        <v>27</v>
      </c>
      <c r="I11" s="104">
        <v>43709</v>
      </c>
      <c r="J11" s="97" t="s">
        <v>417</v>
      </c>
      <c r="K11" s="97" t="s">
        <v>1064</v>
      </c>
      <c r="L11" s="97" t="s">
        <v>414</v>
      </c>
      <c r="M11" s="97">
        <v>0</v>
      </c>
      <c r="N11" s="99" t="s">
        <v>28</v>
      </c>
      <c r="O11" s="96">
        <v>0</v>
      </c>
      <c r="P11" s="96" t="s">
        <v>29</v>
      </c>
      <c r="Q11" s="99" t="s">
        <v>1036</v>
      </c>
      <c r="R11" s="97" t="s">
        <v>419</v>
      </c>
      <c r="S11" s="97">
        <v>1</v>
      </c>
      <c r="T11" s="97" t="s">
        <v>424</v>
      </c>
      <c r="U11" s="97">
        <v>1</v>
      </c>
      <c r="V11" s="97" t="s">
        <v>425</v>
      </c>
      <c r="W11" s="97">
        <v>0</v>
      </c>
      <c r="X11" s="97" t="s">
        <v>428</v>
      </c>
      <c r="Y11" s="97">
        <v>3</v>
      </c>
    </row>
    <row r="12" spans="1:64">
      <c r="A12" s="97" t="s">
        <v>403</v>
      </c>
      <c r="B12" s="97" t="s">
        <v>404</v>
      </c>
      <c r="C12" s="97">
        <v>1</v>
      </c>
      <c r="D12" s="97" t="s">
        <v>405</v>
      </c>
      <c r="E12" s="97">
        <v>1</v>
      </c>
      <c r="F12" s="97" t="s">
        <v>406</v>
      </c>
      <c r="G12" s="97">
        <v>0</v>
      </c>
      <c r="H12" s="97" t="s">
        <v>407</v>
      </c>
      <c r="I12" s="97">
        <v>1</v>
      </c>
      <c r="J12" s="97" t="s">
        <v>408</v>
      </c>
      <c r="K12" s="97">
        <v>0.7</v>
      </c>
      <c r="L12" s="97" t="s">
        <v>409</v>
      </c>
      <c r="M12" s="97">
        <v>2</v>
      </c>
      <c r="N12" s="97" t="s">
        <v>410</v>
      </c>
      <c r="O12" s="97">
        <v>1</v>
      </c>
      <c r="P12" s="97" t="s">
        <v>413</v>
      </c>
      <c r="Q12" s="97">
        <v>1</v>
      </c>
      <c r="R12" s="97" t="s">
        <v>420</v>
      </c>
      <c r="S12" s="97">
        <v>7</v>
      </c>
      <c r="T12" s="97" t="s">
        <v>421</v>
      </c>
      <c r="U12" s="97">
        <v>0</v>
      </c>
      <c r="V12" s="97" t="s">
        <v>422</v>
      </c>
      <c r="W12" s="97">
        <v>100</v>
      </c>
      <c r="X12" s="97" t="s">
        <v>423</v>
      </c>
      <c r="Y12" s="97">
        <v>1</v>
      </c>
      <c r="Z12" s="97" t="s">
        <v>426</v>
      </c>
      <c r="AA12" s="97">
        <v>1</v>
      </c>
      <c r="AB12" s="97" t="s">
        <v>427</v>
      </c>
      <c r="AC12" s="97">
        <v>1</v>
      </c>
      <c r="AD12" s="97" t="s">
        <v>966</v>
      </c>
      <c r="AE12" s="97">
        <v>1</v>
      </c>
    </row>
    <row r="13" spans="1:64">
      <c r="A13" s="96" t="s">
        <v>401</v>
      </c>
      <c r="B13" s="99" t="s">
        <v>30</v>
      </c>
      <c r="C13" s="96">
        <v>1</v>
      </c>
      <c r="D13" s="99" t="s">
        <v>31</v>
      </c>
      <c r="E13" s="96" t="s">
        <v>1037</v>
      </c>
      <c r="F13" s="96" t="s">
        <v>32</v>
      </c>
      <c r="G13" s="103" t="s">
        <v>971</v>
      </c>
      <c r="H13" s="103" t="s">
        <v>33</v>
      </c>
      <c r="I13" s="97" t="s">
        <v>971</v>
      </c>
    </row>
    <row r="14" spans="1:64">
      <c r="A14" s="96" t="s">
        <v>402</v>
      </c>
      <c r="B14" s="102" t="s">
        <v>34</v>
      </c>
      <c r="C14" s="102" t="s">
        <v>1052</v>
      </c>
      <c r="D14" s="102" t="s">
        <v>35</v>
      </c>
      <c r="E14" s="102" t="s">
        <v>1053</v>
      </c>
      <c r="F14" s="102" t="s">
        <v>36</v>
      </c>
      <c r="G14" s="102" t="s">
        <v>1029</v>
      </c>
      <c r="H14" s="102" t="s">
        <v>37</v>
      </c>
      <c r="I14" s="102" t="b">
        <v>0</v>
      </c>
      <c r="J14" s="102" t="s">
        <v>38</v>
      </c>
      <c r="K14" s="102" t="s">
        <v>1054</v>
      </c>
      <c r="L14" s="102" t="s">
        <v>39</v>
      </c>
      <c r="M14" s="102" t="s">
        <v>1030</v>
      </c>
      <c r="N14" s="102" t="s">
        <v>40</v>
      </c>
      <c r="O14" s="102" t="s">
        <v>1029</v>
      </c>
      <c r="P14" s="102" t="s">
        <v>41</v>
      </c>
      <c r="Q14" s="102" t="b">
        <v>0</v>
      </c>
      <c r="R14" s="102" t="s">
        <v>42</v>
      </c>
      <c r="S14" s="102" t="s">
        <v>1055</v>
      </c>
      <c r="T14" s="102" t="s">
        <v>43</v>
      </c>
      <c r="U14" s="102" t="s">
        <v>1056</v>
      </c>
      <c r="V14" s="102" t="s">
        <v>44</v>
      </c>
      <c r="W14" s="102" t="s">
        <v>1029</v>
      </c>
      <c r="X14" s="102" t="s">
        <v>45</v>
      </c>
      <c r="Y14" s="102" t="b">
        <v>1</v>
      </c>
      <c r="Z14" s="102" t="s">
        <v>46</v>
      </c>
      <c r="AA14" s="102" t="s">
        <v>1031</v>
      </c>
      <c r="AB14" s="102" t="s">
        <v>47</v>
      </c>
      <c r="AC14" s="102" t="s">
        <v>1057</v>
      </c>
      <c r="AD14" s="102" t="s">
        <v>48</v>
      </c>
      <c r="AE14" s="102" t="s">
        <v>1058</v>
      </c>
      <c r="AF14" s="102" t="s">
        <v>49</v>
      </c>
      <c r="AG14" s="102" t="b">
        <v>1</v>
      </c>
      <c r="AH14" s="102" t="s">
        <v>50</v>
      </c>
      <c r="AI14" s="102" t="s">
        <v>1038</v>
      </c>
      <c r="AJ14" s="102" t="s">
        <v>51</v>
      </c>
      <c r="AK14" s="102" t="s">
        <v>996</v>
      </c>
      <c r="AL14" s="102" t="s">
        <v>52</v>
      </c>
      <c r="AM14" s="102" t="s">
        <v>1059</v>
      </c>
      <c r="AN14" s="102" t="s">
        <v>53</v>
      </c>
      <c r="AO14" s="102" t="b">
        <v>0</v>
      </c>
      <c r="AP14" s="102" t="s">
        <v>54</v>
      </c>
      <c r="AQ14" s="102" t="s">
        <v>994</v>
      </c>
      <c r="AR14" s="102" t="s">
        <v>55</v>
      </c>
      <c r="AS14" s="102" t="s">
        <v>997</v>
      </c>
      <c r="AT14" s="102" t="s">
        <v>56</v>
      </c>
      <c r="AU14" s="102" t="s">
        <v>1039</v>
      </c>
      <c r="AV14" s="102" t="s">
        <v>57</v>
      </c>
      <c r="AW14" s="102" t="b">
        <v>1</v>
      </c>
      <c r="AX14" s="97" t="s">
        <v>58</v>
      </c>
      <c r="AZ14" s="97" t="s">
        <v>59</v>
      </c>
      <c r="BB14" s="97" t="s">
        <v>60</v>
      </c>
      <c r="BD14" s="97" t="s">
        <v>61</v>
      </c>
      <c r="BF14" s="97" t="s">
        <v>62</v>
      </c>
      <c r="BH14" s="97" t="s">
        <v>63</v>
      </c>
      <c r="BJ14" s="97" t="s">
        <v>64</v>
      </c>
      <c r="BL14" s="97" t="s">
        <v>65</v>
      </c>
    </row>
    <row r="15" spans="1:64">
      <c r="A15" s="96" t="s">
        <v>418</v>
      </c>
      <c r="B15" s="97" t="s">
        <v>411</v>
      </c>
      <c r="C15" s="97">
        <v>0</v>
      </c>
      <c r="D15" s="97" t="s">
        <v>412</v>
      </c>
      <c r="E15" s="97">
        <v>1</v>
      </c>
      <c r="F15" s="97" t="s">
        <v>415</v>
      </c>
      <c r="G15" s="97" t="s">
        <v>998</v>
      </c>
      <c r="H15" s="97" t="s">
        <v>416</v>
      </c>
      <c r="I15" s="97">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75" defaultRowHeight="12"/>
  <cols>
    <col min="1" max="1" width="7.625" style="119" bestFit="1" customWidth="1"/>
    <col min="2" max="2" width="8.375" style="131" bestFit="1" customWidth="1"/>
    <col min="3" max="3" width="15.75" style="128" customWidth="1"/>
    <col min="4" max="4" width="60.625" style="120" customWidth="1"/>
    <col min="5" max="5" width="60.625" style="132" customWidth="1"/>
    <col min="6" max="16384" width="73.375" style="119"/>
  </cols>
  <sheetData>
    <row r="1" spans="1:5" s="117" customFormat="1" ht="24.75" customHeight="1">
      <c r="A1" s="117" t="s">
        <v>912</v>
      </c>
      <c r="B1" s="117" t="s">
        <v>913</v>
      </c>
      <c r="C1" s="118" t="s">
        <v>914</v>
      </c>
      <c r="D1" s="118" t="s">
        <v>66</v>
      </c>
      <c r="E1" s="118" t="s">
        <v>67</v>
      </c>
    </row>
    <row r="2" spans="1:5" ht="60">
      <c r="A2" s="119" t="s">
        <v>1032</v>
      </c>
      <c r="B2" s="131">
        <v>1</v>
      </c>
      <c r="D2" s="120" t="s">
        <v>915</v>
      </c>
      <c r="E2" s="132" t="s">
        <v>591</v>
      </c>
    </row>
    <row r="3" spans="1:5" ht="112.5" customHeight="1">
      <c r="A3" s="121">
        <v>450</v>
      </c>
      <c r="B3" s="131">
        <v>2</v>
      </c>
      <c r="D3" s="120" t="s">
        <v>517</v>
      </c>
      <c r="E3" s="132" t="s">
        <v>916</v>
      </c>
    </row>
    <row r="4" spans="1:5" ht="48">
      <c r="B4" s="131">
        <v>3</v>
      </c>
      <c r="D4" s="120" t="s">
        <v>917</v>
      </c>
      <c r="E4" s="132" t="s">
        <v>592</v>
      </c>
    </row>
    <row r="5" spans="1:5" ht="48">
      <c r="B5" s="131">
        <v>4</v>
      </c>
      <c r="D5" s="120" t="s">
        <v>918</v>
      </c>
      <c r="E5" s="132" t="s">
        <v>593</v>
      </c>
    </row>
    <row r="6" spans="1:5" ht="60">
      <c r="B6" s="131">
        <v>5</v>
      </c>
      <c r="D6" s="120" t="s">
        <v>919</v>
      </c>
      <c r="E6" s="132" t="s">
        <v>594</v>
      </c>
    </row>
    <row r="7" spans="1:5" ht="36">
      <c r="B7" s="131">
        <v>6</v>
      </c>
      <c r="D7" s="120" t="s">
        <v>920</v>
      </c>
      <c r="E7" s="132" t="s">
        <v>595</v>
      </c>
    </row>
    <row r="8" spans="1:5">
      <c r="B8" s="131">
        <v>7</v>
      </c>
      <c r="D8" s="120" t="s">
        <v>906</v>
      </c>
      <c r="E8" s="132" t="s">
        <v>921</v>
      </c>
    </row>
    <row r="9" spans="1:5">
      <c r="B9" s="131">
        <v>101</v>
      </c>
      <c r="D9" s="120" t="s">
        <v>68</v>
      </c>
      <c r="E9" s="132" t="s">
        <v>596</v>
      </c>
    </row>
    <row r="10" spans="1:5">
      <c r="B10" s="131">
        <v>102</v>
      </c>
      <c r="D10" s="120" t="s">
        <v>69</v>
      </c>
      <c r="E10" s="132" t="s">
        <v>597</v>
      </c>
    </row>
    <row r="11" spans="1:5">
      <c r="B11" s="131">
        <v>103</v>
      </c>
      <c r="D11" s="120" t="s">
        <v>70</v>
      </c>
      <c r="E11" s="132" t="s">
        <v>598</v>
      </c>
    </row>
    <row r="12" spans="1:5">
      <c r="B12" s="131">
        <v>104</v>
      </c>
      <c r="D12" s="120" t="s">
        <v>71</v>
      </c>
      <c r="E12" s="132" t="s">
        <v>599</v>
      </c>
    </row>
    <row r="13" spans="1:5">
      <c r="B13" s="131">
        <v>105</v>
      </c>
      <c r="D13" s="120" t="s">
        <v>72</v>
      </c>
      <c r="E13" s="132" t="s">
        <v>600</v>
      </c>
    </row>
    <row r="14" spans="1:5">
      <c r="B14" s="131">
        <v>106</v>
      </c>
      <c r="D14" s="120" t="s">
        <v>435</v>
      </c>
      <c r="E14" s="132" t="s">
        <v>601</v>
      </c>
    </row>
    <row r="15" spans="1:5" ht="36">
      <c r="B15" s="131">
        <v>107</v>
      </c>
      <c r="D15" s="120" t="s">
        <v>436</v>
      </c>
      <c r="E15" s="132" t="s">
        <v>602</v>
      </c>
    </row>
    <row r="16" spans="1:5" ht="36">
      <c r="B16" s="131">
        <v>108</v>
      </c>
      <c r="D16" s="120" t="s">
        <v>437</v>
      </c>
      <c r="E16" s="132" t="s">
        <v>603</v>
      </c>
    </row>
    <row r="17" spans="1:6">
      <c r="B17" s="131">
        <v>109</v>
      </c>
      <c r="D17" s="120" t="s">
        <v>73</v>
      </c>
      <c r="E17" s="132" t="s">
        <v>521</v>
      </c>
    </row>
    <row r="18" spans="1:6">
      <c r="B18" s="131">
        <v>110</v>
      </c>
      <c r="D18" s="120" t="s">
        <v>74</v>
      </c>
      <c r="E18" s="132" t="s">
        <v>604</v>
      </c>
    </row>
    <row r="19" spans="1:6">
      <c r="B19" s="131">
        <v>111</v>
      </c>
      <c r="D19" s="120" t="s">
        <v>75</v>
      </c>
      <c r="E19" s="132" t="s">
        <v>605</v>
      </c>
    </row>
    <row r="20" spans="1:6">
      <c r="A20" s="122"/>
      <c r="B20" s="131">
        <v>112</v>
      </c>
      <c r="C20" s="130" t="s">
        <v>922</v>
      </c>
      <c r="D20" s="121" t="s">
        <v>923</v>
      </c>
      <c r="E20" s="121" t="s">
        <v>519</v>
      </c>
      <c r="F20" s="123"/>
    </row>
    <row r="21" spans="1:6">
      <c r="B21" s="131">
        <v>113</v>
      </c>
      <c r="D21" s="120" t="s">
        <v>76</v>
      </c>
      <c r="E21" s="132" t="s">
        <v>522</v>
      </c>
    </row>
    <row r="22" spans="1:6">
      <c r="B22" s="131">
        <v>114</v>
      </c>
      <c r="D22" s="120" t="s">
        <v>77</v>
      </c>
      <c r="E22" s="132" t="s">
        <v>606</v>
      </c>
    </row>
    <row r="23" spans="1:6">
      <c r="B23" s="131">
        <v>115</v>
      </c>
      <c r="D23" s="120" t="s">
        <v>78</v>
      </c>
      <c r="E23" s="132" t="s">
        <v>607</v>
      </c>
    </row>
    <row r="24" spans="1:6" ht="24">
      <c r="B24" s="131">
        <v>116</v>
      </c>
      <c r="D24" s="120" t="s">
        <v>438</v>
      </c>
      <c r="E24" s="132" t="s">
        <v>608</v>
      </c>
    </row>
    <row r="25" spans="1:6">
      <c r="B25" s="131">
        <v>117</v>
      </c>
      <c r="D25" s="120" t="s">
        <v>439</v>
      </c>
      <c r="E25" s="132" t="s">
        <v>609</v>
      </c>
    </row>
    <row r="26" spans="1:6" ht="24">
      <c r="B26" s="131">
        <v>118</v>
      </c>
      <c r="D26" s="120" t="s">
        <v>79</v>
      </c>
      <c r="E26" s="132" t="s">
        <v>610</v>
      </c>
    </row>
    <row r="27" spans="1:6">
      <c r="B27" s="131">
        <v>119</v>
      </c>
      <c r="D27" s="120" t="s">
        <v>80</v>
      </c>
      <c r="E27" s="132" t="s">
        <v>611</v>
      </c>
    </row>
    <row r="28" spans="1:6">
      <c r="B28" s="131">
        <v>120</v>
      </c>
      <c r="D28" s="120" t="s">
        <v>433</v>
      </c>
      <c r="E28" s="132" t="s">
        <v>612</v>
      </c>
    </row>
    <row r="29" spans="1:6">
      <c r="B29" s="131">
        <v>121</v>
      </c>
      <c r="D29" s="120" t="s">
        <v>81</v>
      </c>
      <c r="E29" s="132" t="s">
        <v>613</v>
      </c>
    </row>
    <row r="30" spans="1:6">
      <c r="B30" s="131">
        <v>122</v>
      </c>
      <c r="D30" s="120" t="s">
        <v>82</v>
      </c>
      <c r="E30" s="132" t="s">
        <v>614</v>
      </c>
    </row>
    <row r="31" spans="1:6">
      <c r="B31" s="131">
        <v>123</v>
      </c>
      <c r="D31" s="120" t="s">
        <v>83</v>
      </c>
      <c r="E31" s="132" t="s">
        <v>615</v>
      </c>
    </row>
    <row r="32" spans="1:6">
      <c r="B32" s="131">
        <v>124</v>
      </c>
      <c r="D32" s="120" t="s">
        <v>84</v>
      </c>
      <c r="E32" s="132" t="s">
        <v>616</v>
      </c>
    </row>
    <row r="33" spans="2:5" ht="24">
      <c r="B33" s="131">
        <v>125</v>
      </c>
      <c r="D33" s="120" t="s">
        <v>434</v>
      </c>
      <c r="E33" s="132" t="s">
        <v>617</v>
      </c>
    </row>
    <row r="34" spans="2:5">
      <c r="B34" s="131">
        <v>126</v>
      </c>
      <c r="D34" s="120" t="s">
        <v>85</v>
      </c>
      <c r="E34" s="132" t="s">
        <v>618</v>
      </c>
    </row>
    <row r="35" spans="2:5">
      <c r="B35" s="131">
        <v>127</v>
      </c>
      <c r="D35" s="120" t="s">
        <v>86</v>
      </c>
      <c r="E35" s="132" t="s">
        <v>619</v>
      </c>
    </row>
    <row r="36" spans="2:5">
      <c r="B36" s="131">
        <v>128</v>
      </c>
      <c r="D36" s="120" t="s">
        <v>440</v>
      </c>
      <c r="E36" s="132" t="s">
        <v>620</v>
      </c>
    </row>
    <row r="37" spans="2:5">
      <c r="B37" s="131">
        <v>129</v>
      </c>
      <c r="D37" s="120" t="s">
        <v>87</v>
      </c>
      <c r="E37" s="132" t="s">
        <v>621</v>
      </c>
    </row>
    <row r="38" spans="2:5">
      <c r="B38" s="131">
        <v>130</v>
      </c>
      <c r="D38" s="120" t="s">
        <v>88</v>
      </c>
      <c r="E38" s="132" t="s">
        <v>523</v>
      </c>
    </row>
    <row r="39" spans="2:5">
      <c r="B39" s="131">
        <v>131</v>
      </c>
      <c r="D39" s="120" t="s">
        <v>89</v>
      </c>
      <c r="E39" s="132" t="s">
        <v>524</v>
      </c>
    </row>
    <row r="40" spans="2:5">
      <c r="B40" s="131">
        <v>132</v>
      </c>
      <c r="D40" s="121" t="s">
        <v>441</v>
      </c>
      <c r="E40" s="125">
        <v>43435</v>
      </c>
    </row>
    <row r="41" spans="2:5">
      <c r="B41" s="131">
        <v>133</v>
      </c>
      <c r="D41" s="121" t="s">
        <v>441</v>
      </c>
      <c r="E41" s="125">
        <v>43435</v>
      </c>
    </row>
    <row r="42" spans="2:5">
      <c r="B42" s="131">
        <v>134</v>
      </c>
      <c r="D42" s="121" t="s">
        <v>442</v>
      </c>
      <c r="E42" s="125">
        <v>43465</v>
      </c>
    </row>
    <row r="43" spans="2:5">
      <c r="B43" s="131">
        <v>135</v>
      </c>
      <c r="D43" s="121" t="s">
        <v>442</v>
      </c>
      <c r="E43" s="125">
        <v>43465</v>
      </c>
    </row>
    <row r="44" spans="2:5">
      <c r="B44" s="131">
        <v>136</v>
      </c>
      <c r="D44" s="120" t="s">
        <v>90</v>
      </c>
      <c r="E44" s="132" t="s">
        <v>90</v>
      </c>
    </row>
    <row r="45" spans="2:5">
      <c r="B45" s="131">
        <v>137</v>
      </c>
      <c r="D45" s="120" t="s">
        <v>91</v>
      </c>
      <c r="E45" s="132" t="s">
        <v>622</v>
      </c>
    </row>
    <row r="46" spans="2:5">
      <c r="B46" s="131">
        <v>138</v>
      </c>
      <c r="C46" s="128" t="s">
        <v>924</v>
      </c>
      <c r="D46" s="120" t="s">
        <v>925</v>
      </c>
      <c r="E46" s="157" t="s">
        <v>926</v>
      </c>
    </row>
    <row r="47" spans="2:5">
      <c r="B47" s="131">
        <v>139</v>
      </c>
      <c r="D47" s="120" t="s">
        <v>92</v>
      </c>
      <c r="E47" s="132" t="s">
        <v>623</v>
      </c>
    </row>
    <row r="48" spans="2:5">
      <c r="B48" s="131">
        <v>140</v>
      </c>
      <c r="D48" s="120" t="s">
        <v>93</v>
      </c>
      <c r="E48" s="132" t="s">
        <v>624</v>
      </c>
    </row>
    <row r="49" spans="1:6">
      <c r="B49" s="131">
        <v>141</v>
      </c>
      <c r="D49" s="120" t="s">
        <v>443</v>
      </c>
      <c r="E49" s="132" t="s">
        <v>525</v>
      </c>
    </row>
    <row r="50" spans="1:6">
      <c r="B50" s="131">
        <v>142</v>
      </c>
      <c r="D50" s="120" t="s">
        <v>94</v>
      </c>
      <c r="E50" s="132" t="s">
        <v>526</v>
      </c>
    </row>
    <row r="51" spans="1:6">
      <c r="B51" s="131">
        <v>143</v>
      </c>
      <c r="D51" s="120" t="s">
        <v>95</v>
      </c>
      <c r="E51" s="132" t="s">
        <v>625</v>
      </c>
    </row>
    <row r="52" spans="1:6">
      <c r="B52" s="131">
        <v>144</v>
      </c>
      <c r="D52" s="120" t="s">
        <v>96</v>
      </c>
      <c r="E52" s="132" t="s">
        <v>626</v>
      </c>
    </row>
    <row r="53" spans="1:6" ht="24">
      <c r="B53" s="131">
        <v>145</v>
      </c>
      <c r="D53" s="120" t="s">
        <v>97</v>
      </c>
      <c r="E53" s="132" t="s">
        <v>627</v>
      </c>
    </row>
    <row r="54" spans="1:6">
      <c r="B54" s="131">
        <v>146</v>
      </c>
      <c r="D54" s="120" t="s">
        <v>98</v>
      </c>
      <c r="E54" s="132" t="s">
        <v>628</v>
      </c>
    </row>
    <row r="55" spans="1:6">
      <c r="B55" s="131">
        <v>147</v>
      </c>
      <c r="D55" s="120" t="s">
        <v>444</v>
      </c>
      <c r="E55" s="132" t="s">
        <v>527</v>
      </c>
    </row>
    <row r="56" spans="1:6">
      <c r="B56" s="131">
        <v>148</v>
      </c>
      <c r="D56" s="120" t="s">
        <v>99</v>
      </c>
      <c r="E56" s="132" t="s">
        <v>528</v>
      </c>
    </row>
    <row r="57" spans="1:6">
      <c r="B57" s="131">
        <v>149</v>
      </c>
      <c r="D57" s="120" t="s">
        <v>100</v>
      </c>
      <c r="E57" s="132" t="s">
        <v>629</v>
      </c>
    </row>
    <row r="58" spans="1:6">
      <c r="B58" s="131">
        <v>150</v>
      </c>
      <c r="D58" s="120" t="s">
        <v>101</v>
      </c>
      <c r="E58" s="132" t="s">
        <v>630</v>
      </c>
    </row>
    <row r="59" spans="1:6" ht="24">
      <c r="B59" s="131">
        <v>151</v>
      </c>
      <c r="D59" s="120" t="s">
        <v>102</v>
      </c>
      <c r="E59" s="132" t="s">
        <v>631</v>
      </c>
    </row>
    <row r="60" spans="1:6">
      <c r="B60" s="131">
        <v>152</v>
      </c>
      <c r="D60" s="120" t="s">
        <v>445</v>
      </c>
      <c r="E60" s="132" t="s">
        <v>632</v>
      </c>
    </row>
    <row r="61" spans="1:6">
      <c r="A61" s="124"/>
      <c r="B61" s="131">
        <v>153</v>
      </c>
      <c r="C61" s="130" t="s">
        <v>512</v>
      </c>
      <c r="D61" s="121" t="s">
        <v>927</v>
      </c>
      <c r="E61" s="121" t="s">
        <v>928</v>
      </c>
      <c r="F61" s="123"/>
    </row>
    <row r="62" spans="1:6" ht="12.75">
      <c r="B62" s="131">
        <v>154</v>
      </c>
      <c r="D62" s="120" t="s">
        <v>103</v>
      </c>
      <c r="E62" s="159" t="s">
        <v>910</v>
      </c>
    </row>
    <row r="63" spans="1:6" ht="12.75">
      <c r="B63" s="131">
        <v>155</v>
      </c>
      <c r="D63" s="120" t="s">
        <v>104</v>
      </c>
      <c r="E63" s="159" t="s">
        <v>929</v>
      </c>
    </row>
    <row r="64" spans="1:6">
      <c r="A64" s="124"/>
      <c r="B64" s="131">
        <v>156</v>
      </c>
      <c r="C64" s="130" t="s">
        <v>930</v>
      </c>
      <c r="D64" s="121" t="s">
        <v>931</v>
      </c>
      <c r="E64" s="121" t="s">
        <v>932</v>
      </c>
      <c r="F64" s="123"/>
    </row>
    <row r="65" spans="1:6">
      <c r="A65" s="124"/>
      <c r="B65" s="131">
        <v>157</v>
      </c>
      <c r="C65" s="130" t="s">
        <v>512</v>
      </c>
      <c r="D65" s="121" t="s">
        <v>933</v>
      </c>
      <c r="E65" s="121" t="s">
        <v>934</v>
      </c>
      <c r="F65" s="123"/>
    </row>
    <row r="66" spans="1:6">
      <c r="A66" s="124"/>
      <c r="B66" s="131">
        <v>158</v>
      </c>
      <c r="C66" s="130" t="s">
        <v>512</v>
      </c>
      <c r="D66" s="121" t="s">
        <v>935</v>
      </c>
      <c r="E66" s="121" t="s">
        <v>936</v>
      </c>
      <c r="F66" s="123"/>
    </row>
    <row r="67" spans="1:6">
      <c r="A67" s="124"/>
      <c r="B67" s="131">
        <v>159</v>
      </c>
      <c r="C67" s="130" t="s">
        <v>930</v>
      </c>
      <c r="D67" s="121" t="s">
        <v>907</v>
      </c>
      <c r="E67" s="121" t="s">
        <v>937</v>
      </c>
      <c r="F67" s="123"/>
    </row>
    <row r="68" spans="1:6">
      <c r="B68" s="131">
        <v>160</v>
      </c>
      <c r="D68" s="120" t="s">
        <v>105</v>
      </c>
      <c r="E68" s="132" t="s">
        <v>938</v>
      </c>
    </row>
    <row r="69" spans="1:6">
      <c r="B69" s="131">
        <v>161</v>
      </c>
      <c r="D69" s="120" t="s">
        <v>106</v>
      </c>
      <c r="E69" s="132" t="s">
        <v>939</v>
      </c>
    </row>
    <row r="70" spans="1:6">
      <c r="B70" s="131">
        <v>162</v>
      </c>
      <c r="D70" s="120" t="s">
        <v>940</v>
      </c>
      <c r="E70" s="132" t="s">
        <v>908</v>
      </c>
    </row>
    <row r="71" spans="1:6">
      <c r="B71" s="131">
        <v>163</v>
      </c>
      <c r="D71" s="120" t="s">
        <v>107</v>
      </c>
      <c r="E71" s="132" t="s">
        <v>941</v>
      </c>
    </row>
    <row r="72" spans="1:6">
      <c r="B72" s="131">
        <v>164</v>
      </c>
      <c r="D72" s="120" t="s">
        <v>108</v>
      </c>
      <c r="E72" s="132" t="s">
        <v>633</v>
      </c>
    </row>
    <row r="73" spans="1:6">
      <c r="B73" s="131">
        <v>165</v>
      </c>
      <c r="D73" s="120" t="s">
        <v>109</v>
      </c>
      <c r="E73" s="132" t="s">
        <v>634</v>
      </c>
    </row>
    <row r="74" spans="1:6">
      <c r="B74" s="131">
        <v>166</v>
      </c>
      <c r="D74" s="120" t="s">
        <v>110</v>
      </c>
      <c r="E74" s="132" t="s">
        <v>635</v>
      </c>
    </row>
    <row r="75" spans="1:6" ht="24">
      <c r="B75" s="131">
        <v>167</v>
      </c>
      <c r="D75" s="120" t="s">
        <v>111</v>
      </c>
      <c r="E75" s="132" t="s">
        <v>636</v>
      </c>
    </row>
    <row r="76" spans="1:6">
      <c r="B76" s="131">
        <v>168</v>
      </c>
      <c r="D76" s="120" t="s">
        <v>112</v>
      </c>
      <c r="E76" s="132" t="s">
        <v>637</v>
      </c>
    </row>
    <row r="77" spans="1:6">
      <c r="B77" s="131">
        <v>169</v>
      </c>
      <c r="D77" s="120" t="s">
        <v>113</v>
      </c>
      <c r="E77" s="132" t="s">
        <v>638</v>
      </c>
    </row>
    <row r="78" spans="1:6">
      <c r="B78" s="131">
        <v>170</v>
      </c>
      <c r="D78" s="120" t="s">
        <v>114</v>
      </c>
      <c r="E78" s="132" t="s">
        <v>639</v>
      </c>
    </row>
    <row r="79" spans="1:6">
      <c r="B79" s="131">
        <v>171</v>
      </c>
      <c r="D79" s="120" t="s">
        <v>446</v>
      </c>
      <c r="E79" s="132" t="s">
        <v>640</v>
      </c>
    </row>
    <row r="80" spans="1:6">
      <c r="B80" s="131">
        <v>172</v>
      </c>
      <c r="D80" s="120" t="s">
        <v>115</v>
      </c>
      <c r="E80" s="132" t="s">
        <v>641</v>
      </c>
    </row>
    <row r="81" spans="2:5">
      <c r="B81" s="131">
        <v>173</v>
      </c>
      <c r="D81" s="120" t="s">
        <v>116</v>
      </c>
      <c r="E81" s="132" t="s">
        <v>642</v>
      </c>
    </row>
    <row r="82" spans="2:5">
      <c r="B82" s="131">
        <v>174</v>
      </c>
      <c r="D82" s="120" t="s">
        <v>117</v>
      </c>
      <c r="E82" s="132" t="s">
        <v>643</v>
      </c>
    </row>
    <row r="83" spans="2:5">
      <c r="B83" s="131">
        <v>175</v>
      </c>
      <c r="D83" s="120" t="s">
        <v>118</v>
      </c>
      <c r="E83" s="132" t="s">
        <v>644</v>
      </c>
    </row>
    <row r="84" spans="2:5">
      <c r="B84" s="131">
        <v>176</v>
      </c>
      <c r="D84" s="120" t="s">
        <v>119</v>
      </c>
      <c r="E84" s="132" t="s">
        <v>645</v>
      </c>
    </row>
    <row r="85" spans="2:5">
      <c r="B85" s="131">
        <v>177</v>
      </c>
      <c r="D85" s="120" t="s">
        <v>120</v>
      </c>
      <c r="E85" s="132" t="s">
        <v>529</v>
      </c>
    </row>
    <row r="86" spans="2:5">
      <c r="B86" s="131">
        <v>178</v>
      </c>
      <c r="D86" s="120" t="s">
        <v>121</v>
      </c>
      <c r="E86" s="132" t="s">
        <v>530</v>
      </c>
    </row>
    <row r="87" spans="2:5">
      <c r="B87" s="131">
        <v>179</v>
      </c>
      <c r="D87" s="120" t="s">
        <v>122</v>
      </c>
      <c r="E87" s="132" t="s">
        <v>646</v>
      </c>
    </row>
    <row r="88" spans="2:5">
      <c r="B88" s="131">
        <v>180</v>
      </c>
      <c r="D88" s="120" t="s">
        <v>447</v>
      </c>
      <c r="E88" s="132" t="s">
        <v>647</v>
      </c>
    </row>
    <row r="89" spans="2:5" ht="24">
      <c r="B89" s="131">
        <v>181</v>
      </c>
      <c r="D89" s="120" t="s">
        <v>448</v>
      </c>
      <c r="E89" s="132" t="s">
        <v>648</v>
      </c>
    </row>
    <row r="90" spans="2:5" ht="24">
      <c r="B90" s="131">
        <v>182</v>
      </c>
      <c r="D90" s="120" t="s">
        <v>123</v>
      </c>
      <c r="E90" s="132" t="s">
        <v>649</v>
      </c>
    </row>
    <row r="91" spans="2:5">
      <c r="B91" s="131">
        <v>183</v>
      </c>
      <c r="D91" s="120" t="s">
        <v>124</v>
      </c>
      <c r="E91" s="132" t="s">
        <v>125</v>
      </c>
    </row>
    <row r="92" spans="2:5">
      <c r="B92" s="131">
        <v>184</v>
      </c>
      <c r="D92" s="120" t="s">
        <v>449</v>
      </c>
      <c r="E92" s="132" t="s">
        <v>531</v>
      </c>
    </row>
    <row r="93" spans="2:5">
      <c r="B93" s="131">
        <v>185</v>
      </c>
      <c r="D93" s="120" t="s">
        <v>450</v>
      </c>
      <c r="E93" s="132" t="s">
        <v>532</v>
      </c>
    </row>
    <row r="94" spans="2:5">
      <c r="B94" s="131">
        <v>186</v>
      </c>
      <c r="D94" s="120" t="s">
        <v>451</v>
      </c>
      <c r="E94" s="132" t="s">
        <v>942</v>
      </c>
    </row>
    <row r="95" spans="2:5">
      <c r="B95" s="131">
        <v>187</v>
      </c>
      <c r="D95" s="120" t="s">
        <v>126</v>
      </c>
      <c r="E95" s="132" t="s">
        <v>650</v>
      </c>
    </row>
    <row r="96" spans="2:5" ht="24">
      <c r="B96" s="131">
        <v>188</v>
      </c>
      <c r="D96" s="120" t="s">
        <v>127</v>
      </c>
      <c r="E96" s="132" t="s">
        <v>651</v>
      </c>
    </row>
    <row r="97" spans="2:5" ht="24">
      <c r="B97" s="131">
        <v>189</v>
      </c>
      <c r="D97" s="120" t="s">
        <v>128</v>
      </c>
      <c r="E97" s="132" t="s">
        <v>652</v>
      </c>
    </row>
    <row r="98" spans="2:5">
      <c r="B98" s="131">
        <v>190</v>
      </c>
      <c r="D98" s="120" t="s">
        <v>129</v>
      </c>
      <c r="E98" s="132" t="s">
        <v>129</v>
      </c>
    </row>
    <row r="99" spans="2:5">
      <c r="B99" s="131">
        <v>191</v>
      </c>
      <c r="D99" s="120" t="s">
        <v>130</v>
      </c>
      <c r="E99" s="132" t="s">
        <v>533</v>
      </c>
    </row>
    <row r="100" spans="2:5">
      <c r="B100" s="131">
        <v>192</v>
      </c>
      <c r="D100" s="120" t="s">
        <v>131</v>
      </c>
      <c r="E100" s="132" t="s">
        <v>534</v>
      </c>
    </row>
    <row r="101" spans="2:5">
      <c r="B101" s="131">
        <v>193</v>
      </c>
      <c r="D101" s="120" t="s">
        <v>132</v>
      </c>
      <c r="E101" s="132" t="s">
        <v>535</v>
      </c>
    </row>
    <row r="102" spans="2:5">
      <c r="B102" s="131">
        <v>194</v>
      </c>
      <c r="D102" s="120" t="s">
        <v>452</v>
      </c>
      <c r="E102" s="132" t="s">
        <v>653</v>
      </c>
    </row>
    <row r="103" spans="2:5">
      <c r="B103" s="131">
        <v>195</v>
      </c>
      <c r="D103" s="120" t="s">
        <v>133</v>
      </c>
      <c r="E103" s="132" t="s">
        <v>654</v>
      </c>
    </row>
    <row r="104" spans="2:5">
      <c r="B104" s="131">
        <v>196</v>
      </c>
      <c r="D104" s="120" t="s">
        <v>453</v>
      </c>
      <c r="E104" s="132" t="s">
        <v>655</v>
      </c>
    </row>
    <row r="105" spans="2:5">
      <c r="B105" s="131">
        <v>197</v>
      </c>
      <c r="D105" s="120" t="s">
        <v>134</v>
      </c>
      <c r="E105" s="132" t="s">
        <v>656</v>
      </c>
    </row>
    <row r="106" spans="2:5">
      <c r="B106" s="131">
        <v>198</v>
      </c>
      <c r="D106" s="120" t="s">
        <v>135</v>
      </c>
      <c r="E106" s="132" t="s">
        <v>657</v>
      </c>
    </row>
    <row r="107" spans="2:5">
      <c r="B107" s="131">
        <v>199</v>
      </c>
      <c r="D107" s="120" t="s">
        <v>136</v>
      </c>
      <c r="E107" s="132" t="s">
        <v>658</v>
      </c>
    </row>
    <row r="108" spans="2:5">
      <c r="B108" s="131">
        <v>200</v>
      </c>
      <c r="D108" s="120" t="s">
        <v>454</v>
      </c>
      <c r="E108" s="132" t="s">
        <v>659</v>
      </c>
    </row>
    <row r="109" spans="2:5">
      <c r="B109" s="131">
        <v>201</v>
      </c>
      <c r="D109" s="120" t="s">
        <v>137</v>
      </c>
      <c r="E109" s="132" t="s">
        <v>660</v>
      </c>
    </row>
    <row r="110" spans="2:5">
      <c r="B110" s="131">
        <v>202</v>
      </c>
      <c r="D110" s="120" t="s">
        <v>138</v>
      </c>
      <c r="E110" s="132" t="s">
        <v>661</v>
      </c>
    </row>
    <row r="111" spans="2:5">
      <c r="B111" s="131">
        <v>203</v>
      </c>
      <c r="D111" s="120" t="s">
        <v>139</v>
      </c>
      <c r="E111" s="132" t="s">
        <v>536</v>
      </c>
    </row>
    <row r="112" spans="2:5">
      <c r="B112" s="131">
        <v>204</v>
      </c>
      <c r="D112" s="120" t="s">
        <v>455</v>
      </c>
      <c r="E112" s="132" t="s">
        <v>537</v>
      </c>
    </row>
    <row r="113" spans="2:5">
      <c r="B113" s="131">
        <v>205</v>
      </c>
      <c r="D113" s="120" t="s">
        <v>456</v>
      </c>
      <c r="E113" s="132" t="s">
        <v>538</v>
      </c>
    </row>
    <row r="114" spans="2:5">
      <c r="B114" s="131">
        <v>206</v>
      </c>
      <c r="D114" s="120" t="s">
        <v>457</v>
      </c>
      <c r="E114" s="132" t="s">
        <v>662</v>
      </c>
    </row>
    <row r="115" spans="2:5">
      <c r="B115" s="131">
        <v>207</v>
      </c>
      <c r="D115" s="120" t="s">
        <v>458</v>
      </c>
      <c r="E115" s="132" t="s">
        <v>539</v>
      </c>
    </row>
    <row r="116" spans="2:5">
      <c r="B116" s="131">
        <v>208</v>
      </c>
      <c r="D116" s="120" t="s">
        <v>459</v>
      </c>
      <c r="E116" s="132" t="s">
        <v>540</v>
      </c>
    </row>
    <row r="117" spans="2:5">
      <c r="B117" s="131">
        <v>209</v>
      </c>
      <c r="D117" s="120" t="s">
        <v>140</v>
      </c>
      <c r="E117" s="132" t="s">
        <v>663</v>
      </c>
    </row>
    <row r="118" spans="2:5">
      <c r="B118" s="131">
        <v>210</v>
      </c>
      <c r="D118" s="120" t="s">
        <v>460</v>
      </c>
      <c r="E118" s="132" t="s">
        <v>664</v>
      </c>
    </row>
    <row r="119" spans="2:5">
      <c r="B119" s="131">
        <v>211</v>
      </c>
      <c r="D119" s="120" t="s">
        <v>141</v>
      </c>
      <c r="E119" s="132" t="s">
        <v>541</v>
      </c>
    </row>
    <row r="120" spans="2:5">
      <c r="B120" s="131">
        <v>212</v>
      </c>
      <c r="D120" s="120" t="s">
        <v>142</v>
      </c>
      <c r="E120" s="132" t="s">
        <v>665</v>
      </c>
    </row>
    <row r="121" spans="2:5">
      <c r="B121" s="131">
        <v>213</v>
      </c>
      <c r="D121" s="120" t="s">
        <v>143</v>
      </c>
      <c r="E121" s="132" t="s">
        <v>666</v>
      </c>
    </row>
    <row r="122" spans="2:5">
      <c r="B122" s="131">
        <v>214</v>
      </c>
      <c r="D122" s="120" t="s">
        <v>461</v>
      </c>
      <c r="E122" s="132" t="s">
        <v>667</v>
      </c>
    </row>
    <row r="123" spans="2:5">
      <c r="B123" s="131">
        <v>215</v>
      </c>
      <c r="D123" s="120" t="s">
        <v>462</v>
      </c>
      <c r="E123" s="132" t="s">
        <v>668</v>
      </c>
    </row>
    <row r="124" spans="2:5">
      <c r="B124" s="131">
        <v>216</v>
      </c>
      <c r="D124" s="120" t="s">
        <v>995</v>
      </c>
      <c r="E124" s="132" t="s">
        <v>669</v>
      </c>
    </row>
    <row r="125" spans="2:5">
      <c r="B125" s="131">
        <v>217</v>
      </c>
      <c r="D125" s="120" t="s">
        <v>463</v>
      </c>
      <c r="E125" s="132" t="s">
        <v>670</v>
      </c>
    </row>
    <row r="126" spans="2:5">
      <c r="B126" s="131">
        <v>218</v>
      </c>
      <c r="D126" s="120" t="s">
        <v>464</v>
      </c>
      <c r="E126" s="132" t="s">
        <v>671</v>
      </c>
    </row>
    <row r="127" spans="2:5">
      <c r="B127" s="131">
        <v>219</v>
      </c>
      <c r="D127" s="120" t="s">
        <v>465</v>
      </c>
      <c r="E127" s="132" t="s">
        <v>672</v>
      </c>
    </row>
    <row r="128" spans="2:5">
      <c r="B128" s="131">
        <v>220</v>
      </c>
      <c r="D128" s="120" t="s">
        <v>466</v>
      </c>
      <c r="E128" s="132" t="s">
        <v>673</v>
      </c>
    </row>
    <row r="129" spans="2:5">
      <c r="B129" s="131">
        <v>221</v>
      </c>
      <c r="D129" s="120" t="s">
        <v>144</v>
      </c>
      <c r="E129" s="132" t="s">
        <v>674</v>
      </c>
    </row>
    <row r="130" spans="2:5">
      <c r="B130" s="131">
        <v>222</v>
      </c>
      <c r="D130" s="120" t="s">
        <v>145</v>
      </c>
      <c r="E130" s="132" t="s">
        <v>675</v>
      </c>
    </row>
    <row r="131" spans="2:5">
      <c r="B131" s="131">
        <v>223</v>
      </c>
      <c r="D131" s="120" t="s">
        <v>146</v>
      </c>
      <c r="E131" s="132" t="s">
        <v>676</v>
      </c>
    </row>
    <row r="132" spans="2:5">
      <c r="B132" s="131">
        <v>224</v>
      </c>
      <c r="D132" s="120" t="s">
        <v>147</v>
      </c>
      <c r="E132" s="132" t="s">
        <v>677</v>
      </c>
    </row>
    <row r="133" spans="2:5">
      <c r="B133" s="131">
        <v>225</v>
      </c>
      <c r="D133" s="120" t="s">
        <v>467</v>
      </c>
      <c r="E133" s="132" t="s">
        <v>678</v>
      </c>
    </row>
    <row r="134" spans="2:5">
      <c r="B134" s="131">
        <v>226</v>
      </c>
      <c r="D134" s="120" t="s">
        <v>468</v>
      </c>
      <c r="E134" s="132" t="s">
        <v>679</v>
      </c>
    </row>
    <row r="135" spans="2:5">
      <c r="B135" s="131">
        <v>227</v>
      </c>
      <c r="D135" s="120" t="s">
        <v>469</v>
      </c>
      <c r="E135" s="132" t="s">
        <v>680</v>
      </c>
    </row>
    <row r="136" spans="2:5">
      <c r="B136" s="131">
        <v>228</v>
      </c>
      <c r="D136" s="120" t="s">
        <v>148</v>
      </c>
      <c r="E136" s="132" t="s">
        <v>681</v>
      </c>
    </row>
    <row r="137" spans="2:5">
      <c r="B137" s="131">
        <v>229</v>
      </c>
      <c r="D137" s="120" t="s">
        <v>149</v>
      </c>
      <c r="E137" s="132" t="s">
        <v>682</v>
      </c>
    </row>
    <row r="138" spans="2:5">
      <c r="B138" s="131">
        <v>230</v>
      </c>
      <c r="D138" s="120" t="s">
        <v>470</v>
      </c>
      <c r="E138" s="132" t="s">
        <v>542</v>
      </c>
    </row>
    <row r="139" spans="2:5">
      <c r="B139" s="131">
        <v>231</v>
      </c>
      <c r="D139" s="120" t="s">
        <v>150</v>
      </c>
      <c r="E139" s="132" t="s">
        <v>683</v>
      </c>
    </row>
    <row r="140" spans="2:5" ht="36">
      <c r="B140" s="131">
        <v>232</v>
      </c>
      <c r="D140" s="120" t="s">
        <v>151</v>
      </c>
      <c r="E140" s="132" t="s">
        <v>684</v>
      </c>
    </row>
    <row r="141" spans="2:5">
      <c r="B141" s="131">
        <v>233</v>
      </c>
      <c r="D141" s="120" t="s">
        <v>152</v>
      </c>
      <c r="E141" s="132" t="s">
        <v>685</v>
      </c>
    </row>
    <row r="142" spans="2:5">
      <c r="B142" s="131">
        <v>234</v>
      </c>
      <c r="D142" s="120" t="s">
        <v>153</v>
      </c>
      <c r="E142" s="132" t="s">
        <v>943</v>
      </c>
    </row>
    <row r="143" spans="2:5">
      <c r="B143" s="131">
        <v>235</v>
      </c>
      <c r="D143" s="120" t="s">
        <v>154</v>
      </c>
      <c r="E143" s="132" t="s">
        <v>543</v>
      </c>
    </row>
    <row r="144" spans="2:5">
      <c r="B144" s="131">
        <v>236</v>
      </c>
      <c r="D144" s="120" t="s">
        <v>155</v>
      </c>
      <c r="E144" s="132" t="s">
        <v>686</v>
      </c>
    </row>
    <row r="145" spans="2:5">
      <c r="B145" s="131">
        <v>237</v>
      </c>
      <c r="D145" s="120" t="s">
        <v>156</v>
      </c>
      <c r="E145" s="132" t="s">
        <v>544</v>
      </c>
    </row>
    <row r="146" spans="2:5">
      <c r="B146" s="131">
        <v>238</v>
      </c>
      <c r="D146" s="120" t="s">
        <v>157</v>
      </c>
      <c r="E146" s="132" t="s">
        <v>687</v>
      </c>
    </row>
    <row r="147" spans="2:5">
      <c r="B147" s="131">
        <v>239</v>
      </c>
      <c r="D147" s="120" t="s">
        <v>158</v>
      </c>
      <c r="E147" s="132" t="s">
        <v>688</v>
      </c>
    </row>
    <row r="148" spans="2:5">
      <c r="B148" s="131">
        <v>240</v>
      </c>
      <c r="D148" s="120" t="s">
        <v>159</v>
      </c>
      <c r="E148" s="132" t="s">
        <v>545</v>
      </c>
    </row>
    <row r="149" spans="2:5">
      <c r="B149" s="131">
        <v>241</v>
      </c>
      <c r="D149" s="120" t="s">
        <v>160</v>
      </c>
      <c r="E149" s="132" t="s">
        <v>546</v>
      </c>
    </row>
    <row r="150" spans="2:5">
      <c r="B150" s="131">
        <v>242</v>
      </c>
      <c r="D150" s="120" t="s">
        <v>161</v>
      </c>
      <c r="E150" s="132" t="s">
        <v>689</v>
      </c>
    </row>
    <row r="151" spans="2:5">
      <c r="B151" s="131">
        <v>243</v>
      </c>
      <c r="D151" s="120" t="s">
        <v>162</v>
      </c>
      <c r="E151" s="132" t="s">
        <v>690</v>
      </c>
    </row>
    <row r="152" spans="2:5">
      <c r="B152" s="131">
        <v>244</v>
      </c>
      <c r="D152" s="120" t="s">
        <v>163</v>
      </c>
      <c r="E152" s="132" t="s">
        <v>691</v>
      </c>
    </row>
    <row r="153" spans="2:5">
      <c r="B153" s="131">
        <v>245</v>
      </c>
      <c r="D153" s="120" t="s">
        <v>471</v>
      </c>
      <c r="E153" s="132" t="s">
        <v>692</v>
      </c>
    </row>
    <row r="154" spans="2:5">
      <c r="B154" s="131">
        <v>246</v>
      </c>
      <c r="D154" s="120" t="s">
        <v>164</v>
      </c>
      <c r="E154" s="132" t="s">
        <v>693</v>
      </c>
    </row>
    <row r="155" spans="2:5">
      <c r="B155" s="131">
        <v>247</v>
      </c>
      <c r="D155" s="120" t="s">
        <v>165</v>
      </c>
      <c r="E155" s="132" t="s">
        <v>547</v>
      </c>
    </row>
    <row r="156" spans="2:5">
      <c r="B156" s="131">
        <v>248</v>
      </c>
      <c r="D156" s="120" t="s">
        <v>166</v>
      </c>
      <c r="E156" s="132" t="s">
        <v>694</v>
      </c>
    </row>
    <row r="157" spans="2:5">
      <c r="B157" s="131">
        <v>249</v>
      </c>
      <c r="D157" s="120" t="s">
        <v>472</v>
      </c>
      <c r="E157" s="132" t="s">
        <v>695</v>
      </c>
    </row>
    <row r="158" spans="2:5">
      <c r="B158" s="131">
        <v>250</v>
      </c>
      <c r="D158" s="120" t="s">
        <v>473</v>
      </c>
      <c r="E158" s="132" t="s">
        <v>696</v>
      </c>
    </row>
    <row r="159" spans="2:5">
      <c r="B159" s="131">
        <v>251</v>
      </c>
      <c r="D159" s="120" t="s">
        <v>474</v>
      </c>
      <c r="E159" s="132" t="s">
        <v>697</v>
      </c>
    </row>
    <row r="160" spans="2:5">
      <c r="B160" s="131">
        <v>252</v>
      </c>
      <c r="D160" s="120" t="s">
        <v>475</v>
      </c>
      <c r="E160" s="132" t="s">
        <v>698</v>
      </c>
    </row>
    <row r="161" spans="2:5">
      <c r="B161" s="131">
        <v>253</v>
      </c>
      <c r="D161" s="120" t="s">
        <v>167</v>
      </c>
      <c r="E161" s="132" t="s">
        <v>944</v>
      </c>
    </row>
    <row r="162" spans="2:5" ht="24">
      <c r="B162" s="131">
        <v>254</v>
      </c>
      <c r="D162" s="120" t="s">
        <v>168</v>
      </c>
      <c r="E162" s="132" t="s">
        <v>699</v>
      </c>
    </row>
    <row r="163" spans="2:5" ht="24">
      <c r="B163" s="131">
        <v>255</v>
      </c>
      <c r="D163" s="120" t="s">
        <v>169</v>
      </c>
      <c r="E163" s="132" t="s">
        <v>700</v>
      </c>
    </row>
    <row r="164" spans="2:5" ht="24">
      <c r="B164" s="131">
        <v>256</v>
      </c>
      <c r="D164" s="120" t="s">
        <v>170</v>
      </c>
      <c r="E164" s="132" t="s">
        <v>701</v>
      </c>
    </row>
    <row r="165" spans="2:5">
      <c r="B165" s="131">
        <v>257</v>
      </c>
      <c r="D165" s="120" t="s">
        <v>171</v>
      </c>
      <c r="E165" s="132" t="s">
        <v>548</v>
      </c>
    </row>
    <row r="166" spans="2:5">
      <c r="B166" s="131">
        <v>258</v>
      </c>
      <c r="D166" s="120" t="s">
        <v>172</v>
      </c>
      <c r="E166" s="132" t="s">
        <v>702</v>
      </c>
    </row>
    <row r="167" spans="2:5">
      <c r="B167" s="131">
        <v>259</v>
      </c>
      <c r="D167" s="120" t="s">
        <v>173</v>
      </c>
      <c r="E167" s="132" t="s">
        <v>703</v>
      </c>
    </row>
    <row r="168" spans="2:5">
      <c r="B168" s="131">
        <v>260</v>
      </c>
      <c r="D168" s="120" t="s">
        <v>174</v>
      </c>
      <c r="E168" s="132" t="s">
        <v>704</v>
      </c>
    </row>
    <row r="169" spans="2:5">
      <c r="B169" s="131">
        <v>261</v>
      </c>
      <c r="D169" s="120" t="s">
        <v>175</v>
      </c>
      <c r="E169" s="132" t="s">
        <v>705</v>
      </c>
    </row>
    <row r="170" spans="2:5" ht="24">
      <c r="B170" s="131">
        <v>262</v>
      </c>
      <c r="D170" s="120" t="s">
        <v>176</v>
      </c>
      <c r="E170" s="132" t="s">
        <v>706</v>
      </c>
    </row>
    <row r="171" spans="2:5">
      <c r="B171" s="131">
        <v>263</v>
      </c>
      <c r="D171" s="120" t="s">
        <v>177</v>
      </c>
      <c r="E171" s="132" t="s">
        <v>707</v>
      </c>
    </row>
    <row r="172" spans="2:5">
      <c r="B172" s="131">
        <v>264</v>
      </c>
      <c r="D172" s="120" t="s">
        <v>178</v>
      </c>
      <c r="E172" s="132" t="s">
        <v>708</v>
      </c>
    </row>
    <row r="173" spans="2:5">
      <c r="B173" s="131">
        <v>265</v>
      </c>
      <c r="D173" s="120" t="s">
        <v>179</v>
      </c>
      <c r="E173" s="132" t="s">
        <v>709</v>
      </c>
    </row>
    <row r="174" spans="2:5">
      <c r="B174" s="131">
        <v>266</v>
      </c>
      <c r="D174" s="120" t="s">
        <v>180</v>
      </c>
      <c r="E174" s="132" t="s">
        <v>710</v>
      </c>
    </row>
    <row r="175" spans="2:5">
      <c r="B175" s="131">
        <v>267</v>
      </c>
      <c r="D175" s="120" t="s">
        <v>181</v>
      </c>
      <c r="E175" s="132" t="s">
        <v>711</v>
      </c>
    </row>
    <row r="176" spans="2:5">
      <c r="B176" s="131">
        <v>268</v>
      </c>
      <c r="D176" s="120" t="s">
        <v>182</v>
      </c>
      <c r="E176" s="132" t="s">
        <v>712</v>
      </c>
    </row>
    <row r="177" spans="2:5">
      <c r="B177" s="131">
        <v>269</v>
      </c>
      <c r="D177" s="120" t="s">
        <v>476</v>
      </c>
      <c r="E177" s="132" t="s">
        <v>713</v>
      </c>
    </row>
    <row r="178" spans="2:5">
      <c r="B178" s="131">
        <v>270</v>
      </c>
      <c r="D178" s="120" t="s">
        <v>183</v>
      </c>
      <c r="E178" s="132" t="s">
        <v>714</v>
      </c>
    </row>
    <row r="179" spans="2:5">
      <c r="B179" s="131">
        <v>271</v>
      </c>
      <c r="D179" s="120" t="s">
        <v>477</v>
      </c>
      <c r="E179" s="132" t="s">
        <v>549</v>
      </c>
    </row>
    <row r="180" spans="2:5" ht="24">
      <c r="B180" s="131">
        <v>272</v>
      </c>
      <c r="D180" s="120" t="s">
        <v>184</v>
      </c>
    </row>
    <row r="181" spans="2:5">
      <c r="B181" s="131">
        <v>273</v>
      </c>
      <c r="D181" s="120" t="s">
        <v>185</v>
      </c>
      <c r="E181" s="132" t="s">
        <v>715</v>
      </c>
    </row>
    <row r="182" spans="2:5">
      <c r="B182" s="131">
        <v>274</v>
      </c>
      <c r="D182" s="120" t="s">
        <v>186</v>
      </c>
      <c r="E182" s="132" t="s">
        <v>550</v>
      </c>
    </row>
    <row r="183" spans="2:5">
      <c r="B183" s="131">
        <v>275</v>
      </c>
      <c r="D183" s="120" t="s">
        <v>187</v>
      </c>
      <c r="E183" s="132" t="s">
        <v>551</v>
      </c>
    </row>
    <row r="184" spans="2:5">
      <c r="B184" s="131">
        <v>276</v>
      </c>
      <c r="D184" s="120" t="s">
        <v>188</v>
      </c>
      <c r="E184" s="132" t="s">
        <v>945</v>
      </c>
    </row>
    <row r="185" spans="2:5">
      <c r="B185" s="131">
        <v>277</v>
      </c>
      <c r="D185" s="120" t="s">
        <v>478</v>
      </c>
      <c r="E185" s="132" t="s">
        <v>552</v>
      </c>
    </row>
    <row r="186" spans="2:5">
      <c r="B186" s="131">
        <v>278</v>
      </c>
      <c r="D186" s="120" t="s">
        <v>189</v>
      </c>
      <c r="E186" s="132" t="s">
        <v>553</v>
      </c>
    </row>
    <row r="187" spans="2:5">
      <c r="B187" s="131">
        <v>279</v>
      </c>
      <c r="D187" s="120" t="s">
        <v>190</v>
      </c>
      <c r="E187" s="132" t="s">
        <v>716</v>
      </c>
    </row>
    <row r="188" spans="2:5">
      <c r="B188" s="131">
        <v>280</v>
      </c>
      <c r="D188" s="120" t="s">
        <v>1</v>
      </c>
      <c r="E188" s="132" t="s">
        <v>1</v>
      </c>
    </row>
    <row r="189" spans="2:5">
      <c r="B189" s="131">
        <v>281</v>
      </c>
      <c r="D189" s="120" t="s">
        <v>2</v>
      </c>
      <c r="E189" s="132" t="s">
        <v>2</v>
      </c>
    </row>
    <row r="190" spans="2:5">
      <c r="B190" s="131">
        <v>282</v>
      </c>
      <c r="D190" s="120" t="s">
        <v>191</v>
      </c>
      <c r="E190" s="132" t="s">
        <v>192</v>
      </c>
    </row>
    <row r="191" spans="2:5">
      <c r="B191" s="131">
        <v>283</v>
      </c>
      <c r="D191" s="120" t="s">
        <v>193</v>
      </c>
      <c r="E191" s="132" t="s">
        <v>946</v>
      </c>
    </row>
    <row r="192" spans="2:5">
      <c r="B192" s="131">
        <v>284</v>
      </c>
      <c r="D192" s="120" t="s">
        <v>194</v>
      </c>
      <c r="E192" s="132" t="s">
        <v>717</v>
      </c>
    </row>
    <row r="193" spans="2:5">
      <c r="B193" s="131">
        <v>285</v>
      </c>
      <c r="D193" s="120" t="s">
        <v>195</v>
      </c>
      <c r="E193" s="132" t="s">
        <v>554</v>
      </c>
    </row>
    <row r="194" spans="2:5">
      <c r="B194" s="131">
        <v>286</v>
      </c>
      <c r="D194" s="120" t="s">
        <v>479</v>
      </c>
      <c r="E194" s="132" t="s">
        <v>555</v>
      </c>
    </row>
    <row r="195" spans="2:5">
      <c r="B195" s="131">
        <v>287</v>
      </c>
      <c r="D195" s="120" t="s">
        <v>480</v>
      </c>
      <c r="E195" s="132" t="s">
        <v>556</v>
      </c>
    </row>
    <row r="196" spans="2:5">
      <c r="B196" s="131">
        <v>288</v>
      </c>
      <c r="D196" s="120" t="s">
        <v>481</v>
      </c>
      <c r="E196" s="132" t="s">
        <v>555</v>
      </c>
    </row>
    <row r="197" spans="2:5">
      <c r="B197" s="131">
        <v>289</v>
      </c>
      <c r="D197" s="120" t="s">
        <v>196</v>
      </c>
      <c r="E197" s="132" t="s">
        <v>557</v>
      </c>
    </row>
    <row r="198" spans="2:5">
      <c r="B198" s="131">
        <v>290</v>
      </c>
      <c r="D198" s="120" t="s">
        <v>482</v>
      </c>
      <c r="E198" s="132" t="s">
        <v>718</v>
      </c>
    </row>
    <row r="199" spans="2:5">
      <c r="B199" s="131">
        <v>291</v>
      </c>
      <c r="D199" s="120" t="s">
        <v>197</v>
      </c>
      <c r="E199" s="132" t="s">
        <v>719</v>
      </c>
    </row>
    <row r="200" spans="2:5">
      <c r="B200" s="131">
        <v>292</v>
      </c>
      <c r="D200" s="120" t="s">
        <v>513</v>
      </c>
      <c r="E200" s="132" t="s">
        <v>720</v>
      </c>
    </row>
    <row r="201" spans="2:5">
      <c r="B201" s="131">
        <v>293</v>
      </c>
      <c r="D201" s="120" t="s">
        <v>514</v>
      </c>
      <c r="E201" s="132" t="s">
        <v>947</v>
      </c>
    </row>
    <row r="202" spans="2:5">
      <c r="B202" s="131">
        <v>294</v>
      </c>
      <c r="D202" s="120" t="s">
        <v>198</v>
      </c>
      <c r="E202" s="132" t="s">
        <v>558</v>
      </c>
    </row>
    <row r="203" spans="2:5">
      <c r="B203" s="131">
        <v>295</v>
      </c>
      <c r="D203" s="120" t="s">
        <v>483</v>
      </c>
      <c r="E203" s="132" t="s">
        <v>559</v>
      </c>
    </row>
    <row r="204" spans="2:5">
      <c r="B204" s="131">
        <v>296</v>
      </c>
      <c r="D204" s="120" t="s">
        <v>199</v>
      </c>
      <c r="E204" s="132" t="s">
        <v>721</v>
      </c>
    </row>
    <row r="205" spans="2:5">
      <c r="B205" s="131">
        <v>297</v>
      </c>
      <c r="D205" s="120" t="s">
        <v>200</v>
      </c>
      <c r="E205" s="132" t="s">
        <v>722</v>
      </c>
    </row>
    <row r="206" spans="2:5">
      <c r="B206" s="131">
        <v>298</v>
      </c>
      <c r="D206" s="120" t="s">
        <v>201</v>
      </c>
      <c r="E206" s="132" t="s">
        <v>560</v>
      </c>
    </row>
    <row r="207" spans="2:5" ht="24">
      <c r="B207" s="131">
        <v>299</v>
      </c>
      <c r="D207" s="120" t="s">
        <v>202</v>
      </c>
      <c r="E207" s="132" t="s">
        <v>723</v>
      </c>
    </row>
    <row r="208" spans="2:5" ht="24">
      <c r="B208" s="131">
        <v>300</v>
      </c>
      <c r="D208" s="120" t="s">
        <v>515</v>
      </c>
      <c r="E208" s="132" t="s">
        <v>724</v>
      </c>
    </row>
    <row r="209" spans="2:5">
      <c r="B209" s="131">
        <v>301</v>
      </c>
      <c r="D209" s="120" t="s">
        <v>516</v>
      </c>
      <c r="E209" s="132" t="s">
        <v>948</v>
      </c>
    </row>
    <row r="210" spans="2:5">
      <c r="B210" s="131">
        <v>302</v>
      </c>
      <c r="D210" s="120" t="s">
        <v>484</v>
      </c>
      <c r="E210" s="132" t="s">
        <v>949</v>
      </c>
    </row>
    <row r="211" spans="2:5">
      <c r="B211" s="131">
        <v>303</v>
      </c>
      <c r="D211" s="120" t="s">
        <v>203</v>
      </c>
      <c r="E211" s="132" t="s">
        <v>725</v>
      </c>
    </row>
    <row r="212" spans="2:5">
      <c r="B212" s="131">
        <v>304</v>
      </c>
      <c r="D212" s="120" t="s">
        <v>485</v>
      </c>
      <c r="E212" s="132" t="s">
        <v>726</v>
      </c>
    </row>
    <row r="213" spans="2:5">
      <c r="B213" s="131">
        <v>305</v>
      </c>
      <c r="D213" s="120" t="s">
        <v>486</v>
      </c>
      <c r="E213" s="132" t="s">
        <v>561</v>
      </c>
    </row>
    <row r="214" spans="2:5">
      <c r="B214" s="131">
        <v>306</v>
      </c>
      <c r="D214" s="120" t="s">
        <v>204</v>
      </c>
      <c r="E214" s="132" t="s">
        <v>727</v>
      </c>
    </row>
    <row r="215" spans="2:5">
      <c r="B215" s="131">
        <v>307</v>
      </c>
      <c r="D215" s="120" t="s">
        <v>205</v>
      </c>
      <c r="E215" s="132" t="s">
        <v>562</v>
      </c>
    </row>
    <row r="216" spans="2:5">
      <c r="B216" s="131">
        <v>308</v>
      </c>
      <c r="D216" s="120" t="s">
        <v>487</v>
      </c>
      <c r="E216" s="132" t="s">
        <v>728</v>
      </c>
    </row>
    <row r="217" spans="2:5">
      <c r="B217" s="131">
        <v>309</v>
      </c>
      <c r="D217" s="120" t="s">
        <v>206</v>
      </c>
      <c r="E217" s="132" t="s">
        <v>729</v>
      </c>
    </row>
    <row r="218" spans="2:5">
      <c r="B218" s="131">
        <v>310</v>
      </c>
      <c r="D218" s="120" t="s">
        <v>207</v>
      </c>
      <c r="E218" s="132" t="s">
        <v>730</v>
      </c>
    </row>
    <row r="219" spans="2:5" ht="24">
      <c r="B219" s="131">
        <v>311</v>
      </c>
      <c r="D219" s="120" t="s">
        <v>208</v>
      </c>
      <c r="E219" s="132" t="s">
        <v>731</v>
      </c>
    </row>
    <row r="220" spans="2:5">
      <c r="B220" s="131">
        <v>312</v>
      </c>
      <c r="D220" s="120" t="s">
        <v>209</v>
      </c>
      <c r="E220" s="132" t="s">
        <v>732</v>
      </c>
    </row>
    <row r="221" spans="2:5">
      <c r="B221" s="131">
        <v>313</v>
      </c>
      <c r="C221" s="128" t="s">
        <v>924</v>
      </c>
      <c r="D221" s="120" t="s">
        <v>950</v>
      </c>
      <c r="E221" s="157" t="s">
        <v>951</v>
      </c>
    </row>
    <row r="222" spans="2:5">
      <c r="B222" s="131">
        <v>314</v>
      </c>
      <c r="D222" s="120" t="s">
        <v>210</v>
      </c>
      <c r="E222" s="132" t="s">
        <v>952</v>
      </c>
    </row>
    <row r="223" spans="2:5">
      <c r="B223" s="131">
        <v>315</v>
      </c>
      <c r="D223" s="120" t="s">
        <v>211</v>
      </c>
      <c r="E223" s="132" t="s">
        <v>733</v>
      </c>
    </row>
    <row r="224" spans="2:5">
      <c r="B224" s="131">
        <v>316</v>
      </c>
      <c r="D224" s="120" t="s">
        <v>212</v>
      </c>
      <c r="E224" s="132" t="s">
        <v>734</v>
      </c>
    </row>
    <row r="225" spans="1:6">
      <c r="B225" s="131">
        <v>317</v>
      </c>
      <c r="D225" s="120" t="s">
        <v>213</v>
      </c>
      <c r="E225" s="132" t="s">
        <v>735</v>
      </c>
    </row>
    <row r="226" spans="1:6">
      <c r="B226" s="131">
        <v>318</v>
      </c>
      <c r="D226" s="120" t="s">
        <v>214</v>
      </c>
      <c r="E226" s="132" t="s">
        <v>563</v>
      </c>
    </row>
    <row r="227" spans="1:6">
      <c r="B227" s="131">
        <v>319</v>
      </c>
      <c r="D227" s="120" t="s">
        <v>488</v>
      </c>
      <c r="E227" s="132" t="s">
        <v>736</v>
      </c>
    </row>
    <row r="228" spans="1:6">
      <c r="B228" s="131">
        <v>320</v>
      </c>
      <c r="D228" s="120" t="s">
        <v>215</v>
      </c>
      <c r="E228" s="132" t="s">
        <v>737</v>
      </c>
    </row>
    <row r="229" spans="1:6" ht="36">
      <c r="B229" s="131">
        <v>321</v>
      </c>
      <c r="D229" s="120" t="s">
        <v>216</v>
      </c>
      <c r="E229" s="132" t="s">
        <v>738</v>
      </c>
    </row>
    <row r="230" spans="1:6">
      <c r="B230" s="131">
        <v>322</v>
      </c>
      <c r="D230" s="120" t="s">
        <v>217</v>
      </c>
      <c r="E230" s="132" t="s">
        <v>739</v>
      </c>
    </row>
    <row r="231" spans="1:6" ht="24">
      <c r="B231" s="131">
        <v>323</v>
      </c>
      <c r="D231" s="120" t="s">
        <v>218</v>
      </c>
      <c r="E231" s="132" t="s">
        <v>740</v>
      </c>
    </row>
    <row r="232" spans="1:6">
      <c r="A232" s="122"/>
      <c r="B232" s="131">
        <v>324</v>
      </c>
      <c r="C232" s="130" t="s">
        <v>512</v>
      </c>
      <c r="D232" s="121" t="s">
        <v>953</v>
      </c>
      <c r="E232" s="121" t="s">
        <v>520</v>
      </c>
      <c r="F232" s="123"/>
    </row>
    <row r="233" spans="1:6">
      <c r="A233" s="122"/>
      <c r="B233" s="131">
        <v>325</v>
      </c>
      <c r="C233" s="130" t="s">
        <v>512</v>
      </c>
      <c r="D233" s="121" t="s">
        <v>954</v>
      </c>
      <c r="E233" s="121" t="s">
        <v>903</v>
      </c>
      <c r="F233" s="123"/>
    </row>
    <row r="234" spans="1:6">
      <c r="A234" s="122"/>
      <c r="B234" s="131">
        <v>326</v>
      </c>
      <c r="C234" s="130" t="s">
        <v>922</v>
      </c>
      <c r="D234" s="121" t="s">
        <v>955</v>
      </c>
      <c r="E234" s="121" t="s">
        <v>956</v>
      </c>
      <c r="F234" s="123"/>
    </row>
    <row r="235" spans="1:6">
      <c r="B235" s="131">
        <v>327</v>
      </c>
      <c r="D235" s="120" t="s">
        <v>219</v>
      </c>
      <c r="E235" s="132" t="s">
        <v>564</v>
      </c>
    </row>
    <row r="236" spans="1:6" ht="12.75">
      <c r="B236" s="131">
        <v>328</v>
      </c>
      <c r="D236" s="120" t="s">
        <v>220</v>
      </c>
      <c r="E236" s="159" t="s">
        <v>909</v>
      </c>
    </row>
    <row r="237" spans="1:6">
      <c r="B237" s="131">
        <v>329</v>
      </c>
      <c r="D237" s="120" t="s">
        <v>221</v>
      </c>
      <c r="E237" s="132" t="s">
        <v>741</v>
      </c>
    </row>
    <row r="238" spans="1:6">
      <c r="B238" s="131">
        <v>330</v>
      </c>
      <c r="D238" s="120" t="s">
        <v>222</v>
      </c>
      <c r="E238" s="132" t="s">
        <v>742</v>
      </c>
    </row>
    <row r="239" spans="1:6">
      <c r="B239" s="131">
        <v>331</v>
      </c>
      <c r="D239" s="120" t="s">
        <v>223</v>
      </c>
      <c r="E239" s="132" t="s">
        <v>743</v>
      </c>
    </row>
    <row r="240" spans="1:6">
      <c r="B240" s="131">
        <v>332</v>
      </c>
      <c r="D240" s="120" t="s">
        <v>224</v>
      </c>
      <c r="E240" s="132" t="s">
        <v>744</v>
      </c>
    </row>
    <row r="241" spans="2:5">
      <c r="B241" s="131">
        <v>333</v>
      </c>
      <c r="D241" s="120" t="s">
        <v>225</v>
      </c>
      <c r="E241" s="132" t="s">
        <v>745</v>
      </c>
    </row>
    <row r="242" spans="2:5">
      <c r="B242" s="131">
        <v>334</v>
      </c>
      <c r="D242" s="120" t="s">
        <v>226</v>
      </c>
      <c r="E242" s="132" t="s">
        <v>746</v>
      </c>
    </row>
    <row r="243" spans="2:5">
      <c r="B243" s="131">
        <v>335</v>
      </c>
      <c r="D243" s="120" t="s">
        <v>227</v>
      </c>
      <c r="E243" s="132" t="s">
        <v>747</v>
      </c>
    </row>
    <row r="244" spans="2:5">
      <c r="B244" s="131">
        <v>336</v>
      </c>
      <c r="D244" s="120" t="s">
        <v>228</v>
      </c>
      <c r="E244" s="132" t="s">
        <v>565</v>
      </c>
    </row>
    <row r="245" spans="2:5">
      <c r="B245" s="131">
        <v>337</v>
      </c>
      <c r="D245" s="120" t="s">
        <v>229</v>
      </c>
      <c r="E245" s="132" t="s">
        <v>748</v>
      </c>
    </row>
    <row r="246" spans="2:5">
      <c r="B246" s="131">
        <v>338</v>
      </c>
      <c r="D246" s="120" t="s">
        <v>230</v>
      </c>
      <c r="E246" s="132" t="s">
        <v>566</v>
      </c>
    </row>
    <row r="247" spans="2:5">
      <c r="B247" s="131">
        <v>339</v>
      </c>
      <c r="D247" s="120" t="s">
        <v>231</v>
      </c>
      <c r="E247" s="132" t="s">
        <v>749</v>
      </c>
    </row>
    <row r="248" spans="2:5">
      <c r="B248" s="131">
        <v>340</v>
      </c>
      <c r="D248" s="120" t="s">
        <v>232</v>
      </c>
      <c r="E248" s="132" t="s">
        <v>567</v>
      </c>
    </row>
    <row r="249" spans="2:5">
      <c r="B249" s="131">
        <v>341</v>
      </c>
      <c r="D249" s="120" t="s">
        <v>233</v>
      </c>
      <c r="E249" s="132" t="s">
        <v>750</v>
      </c>
    </row>
    <row r="250" spans="2:5">
      <c r="B250" s="131">
        <v>342</v>
      </c>
      <c r="D250" s="120" t="s">
        <v>234</v>
      </c>
      <c r="E250" s="132" t="s">
        <v>568</v>
      </c>
    </row>
    <row r="251" spans="2:5">
      <c r="B251" s="131">
        <v>343</v>
      </c>
      <c r="D251" s="120" t="s">
        <v>235</v>
      </c>
      <c r="E251" s="132" t="s">
        <v>751</v>
      </c>
    </row>
    <row r="252" spans="2:5">
      <c r="B252" s="131">
        <v>344</v>
      </c>
      <c r="D252" s="120" t="s">
        <v>236</v>
      </c>
      <c r="E252" s="132" t="s">
        <v>569</v>
      </c>
    </row>
    <row r="253" spans="2:5">
      <c r="B253" s="131">
        <v>345</v>
      </c>
      <c r="D253" s="120" t="s">
        <v>237</v>
      </c>
      <c r="E253" s="132" t="s">
        <v>752</v>
      </c>
    </row>
    <row r="254" spans="2:5">
      <c r="B254" s="131">
        <v>346</v>
      </c>
      <c r="D254" s="120" t="s">
        <v>238</v>
      </c>
      <c r="E254" s="132" t="s">
        <v>753</v>
      </c>
    </row>
    <row r="255" spans="2:5">
      <c r="B255" s="131">
        <v>347</v>
      </c>
      <c r="D255" s="120" t="s">
        <v>489</v>
      </c>
      <c r="E255" s="132" t="s">
        <v>489</v>
      </c>
    </row>
    <row r="256" spans="2:5">
      <c r="B256" s="131">
        <v>348</v>
      </c>
      <c r="D256" s="120" t="s">
        <v>239</v>
      </c>
      <c r="E256" s="132" t="s">
        <v>570</v>
      </c>
    </row>
    <row r="257" spans="2:5" ht="24">
      <c r="B257" s="131">
        <v>349</v>
      </c>
      <c r="D257" s="120" t="s">
        <v>240</v>
      </c>
      <c r="E257" s="132" t="s">
        <v>754</v>
      </c>
    </row>
    <row r="258" spans="2:5">
      <c r="B258" s="131">
        <v>350</v>
      </c>
      <c r="D258" s="120" t="s">
        <v>241</v>
      </c>
      <c r="E258" s="132" t="s">
        <v>755</v>
      </c>
    </row>
    <row r="259" spans="2:5" ht="24">
      <c r="B259" s="131">
        <v>351</v>
      </c>
      <c r="D259" s="120" t="s">
        <v>242</v>
      </c>
      <c r="E259" s="132" t="s">
        <v>756</v>
      </c>
    </row>
    <row r="260" spans="2:5" ht="12.75">
      <c r="B260" s="131">
        <v>352</v>
      </c>
      <c r="D260" s="126" t="s">
        <v>957</v>
      </c>
      <c r="E260" s="158" t="s">
        <v>958</v>
      </c>
    </row>
    <row r="261" spans="2:5">
      <c r="B261" s="131">
        <v>353</v>
      </c>
      <c r="D261" s="120" t="s">
        <v>490</v>
      </c>
      <c r="E261" s="132" t="s">
        <v>571</v>
      </c>
    </row>
    <row r="262" spans="2:5">
      <c r="B262" s="131">
        <v>354</v>
      </c>
      <c r="D262" s="120" t="s">
        <v>243</v>
      </c>
      <c r="E262" s="132" t="s">
        <v>757</v>
      </c>
    </row>
    <row r="263" spans="2:5">
      <c r="B263" s="131">
        <v>355</v>
      </c>
      <c r="D263" s="120" t="s">
        <v>491</v>
      </c>
      <c r="E263" s="132" t="s">
        <v>758</v>
      </c>
    </row>
    <row r="264" spans="2:5">
      <c r="B264" s="131">
        <v>356</v>
      </c>
      <c r="D264" s="120" t="s">
        <v>244</v>
      </c>
      <c r="E264" s="132" t="s">
        <v>572</v>
      </c>
    </row>
    <row r="265" spans="2:5">
      <c r="B265" s="131">
        <v>357</v>
      </c>
      <c r="D265" s="120" t="s">
        <v>245</v>
      </c>
      <c r="E265" s="132" t="s">
        <v>573</v>
      </c>
    </row>
    <row r="266" spans="2:5">
      <c r="B266" s="131">
        <v>358</v>
      </c>
      <c r="D266" s="120" t="s">
        <v>246</v>
      </c>
      <c r="E266" s="132" t="s">
        <v>759</v>
      </c>
    </row>
    <row r="267" spans="2:5">
      <c r="B267" s="131">
        <v>359</v>
      </c>
      <c r="D267" s="120" t="s">
        <v>247</v>
      </c>
      <c r="E267" s="132" t="s">
        <v>760</v>
      </c>
    </row>
    <row r="268" spans="2:5">
      <c r="B268" s="131">
        <v>360</v>
      </c>
      <c r="D268" s="120" t="s">
        <v>248</v>
      </c>
      <c r="E268" s="132" t="s">
        <v>761</v>
      </c>
    </row>
    <row r="269" spans="2:5">
      <c r="B269" s="131">
        <v>361</v>
      </c>
      <c r="D269" s="120" t="s">
        <v>249</v>
      </c>
    </row>
    <row r="270" spans="2:5">
      <c r="B270" s="131">
        <v>362</v>
      </c>
      <c r="D270" s="120" t="s">
        <v>492</v>
      </c>
      <c r="E270" s="132" t="s">
        <v>762</v>
      </c>
    </row>
    <row r="271" spans="2:5" ht="24">
      <c r="B271" s="131">
        <v>363</v>
      </c>
      <c r="D271" s="120" t="s">
        <v>493</v>
      </c>
      <c r="E271" s="132" t="s">
        <v>763</v>
      </c>
    </row>
    <row r="272" spans="2:5" ht="24">
      <c r="B272" s="131">
        <v>364</v>
      </c>
      <c r="D272" s="120" t="s">
        <v>250</v>
      </c>
      <c r="E272" s="132" t="s">
        <v>764</v>
      </c>
    </row>
    <row r="273" spans="2:5">
      <c r="B273" s="131">
        <v>365</v>
      </c>
      <c r="D273" s="120" t="s">
        <v>251</v>
      </c>
      <c r="E273" s="132" t="s">
        <v>765</v>
      </c>
    </row>
    <row r="274" spans="2:5">
      <c r="B274" s="131">
        <v>366</v>
      </c>
      <c r="D274" s="120" t="s">
        <v>252</v>
      </c>
      <c r="E274" s="132" t="s">
        <v>766</v>
      </c>
    </row>
    <row r="275" spans="2:5">
      <c r="B275" s="131">
        <v>367</v>
      </c>
      <c r="D275" s="120" t="s">
        <v>253</v>
      </c>
      <c r="E275" s="132" t="s">
        <v>574</v>
      </c>
    </row>
    <row r="276" spans="2:5">
      <c r="B276" s="131">
        <v>368</v>
      </c>
      <c r="D276" s="120" t="s">
        <v>254</v>
      </c>
      <c r="E276" s="132" t="s">
        <v>575</v>
      </c>
    </row>
    <row r="277" spans="2:5">
      <c r="B277" s="131">
        <v>369</v>
      </c>
      <c r="D277" s="120" t="s">
        <v>255</v>
      </c>
      <c r="E277" s="132" t="s">
        <v>767</v>
      </c>
    </row>
    <row r="278" spans="2:5">
      <c r="B278" s="131">
        <v>370</v>
      </c>
      <c r="D278" s="120" t="s">
        <v>256</v>
      </c>
      <c r="E278" s="132" t="s">
        <v>576</v>
      </c>
    </row>
    <row r="279" spans="2:5">
      <c r="B279" s="131">
        <v>371</v>
      </c>
      <c r="D279" s="120" t="s">
        <v>257</v>
      </c>
      <c r="E279" s="132" t="s">
        <v>768</v>
      </c>
    </row>
    <row r="280" spans="2:5">
      <c r="B280" s="131">
        <v>372</v>
      </c>
      <c r="D280" s="120" t="s">
        <v>258</v>
      </c>
      <c r="E280" s="132" t="s">
        <v>577</v>
      </c>
    </row>
    <row r="281" spans="2:5">
      <c r="B281" s="131">
        <v>373</v>
      </c>
      <c r="D281" s="120" t="s">
        <v>259</v>
      </c>
      <c r="E281" s="132" t="s">
        <v>578</v>
      </c>
    </row>
    <row r="282" spans="2:5">
      <c r="B282" s="131">
        <v>374</v>
      </c>
      <c r="D282" s="120" t="s">
        <v>260</v>
      </c>
      <c r="E282" s="132" t="s">
        <v>769</v>
      </c>
    </row>
    <row r="283" spans="2:5">
      <c r="B283" s="131">
        <v>375</v>
      </c>
      <c r="D283" s="120" t="s">
        <v>261</v>
      </c>
      <c r="E283" s="132" t="s">
        <v>770</v>
      </c>
    </row>
    <row r="284" spans="2:5">
      <c r="B284" s="131">
        <v>376</v>
      </c>
      <c r="D284" s="120" t="s">
        <v>262</v>
      </c>
      <c r="E284" s="132" t="s">
        <v>771</v>
      </c>
    </row>
    <row r="285" spans="2:5">
      <c r="B285" s="131">
        <v>377</v>
      </c>
      <c r="D285" s="120" t="s">
        <v>263</v>
      </c>
      <c r="E285" s="132" t="s">
        <v>772</v>
      </c>
    </row>
    <row r="286" spans="2:5">
      <c r="B286" s="131">
        <v>378</v>
      </c>
      <c r="D286" s="120" t="s">
        <v>264</v>
      </c>
      <c r="E286" s="132" t="s">
        <v>579</v>
      </c>
    </row>
    <row r="287" spans="2:5">
      <c r="B287" s="131">
        <v>379</v>
      </c>
      <c r="D287" s="120" t="s">
        <v>265</v>
      </c>
      <c r="E287" s="132" t="s">
        <v>959</v>
      </c>
    </row>
    <row r="288" spans="2:5">
      <c r="B288" s="131">
        <v>380</v>
      </c>
      <c r="D288" s="120" t="s">
        <v>266</v>
      </c>
      <c r="E288" s="132" t="s">
        <v>773</v>
      </c>
    </row>
    <row r="289" spans="2:5">
      <c r="B289" s="131">
        <v>381</v>
      </c>
      <c r="D289" s="120" t="s">
        <v>267</v>
      </c>
      <c r="E289" s="132" t="s">
        <v>580</v>
      </c>
    </row>
    <row r="290" spans="2:5" ht="36">
      <c r="B290" s="131">
        <v>382</v>
      </c>
      <c r="D290" s="120" t="s">
        <v>268</v>
      </c>
      <c r="E290" s="132" t="s">
        <v>774</v>
      </c>
    </row>
    <row r="291" spans="2:5">
      <c r="B291" s="131">
        <v>383</v>
      </c>
      <c r="D291" s="120" t="s">
        <v>269</v>
      </c>
      <c r="E291" s="132" t="s">
        <v>775</v>
      </c>
    </row>
    <row r="292" spans="2:5" ht="24">
      <c r="B292" s="131">
        <v>384</v>
      </c>
      <c r="D292" s="120" t="s">
        <v>270</v>
      </c>
      <c r="E292" s="132" t="s">
        <v>776</v>
      </c>
    </row>
    <row r="293" spans="2:5">
      <c r="B293" s="131">
        <v>385</v>
      </c>
      <c r="D293" s="120" t="s">
        <v>271</v>
      </c>
      <c r="E293" s="132" t="s">
        <v>777</v>
      </c>
    </row>
    <row r="294" spans="2:5" ht="24">
      <c r="B294" s="131">
        <v>386</v>
      </c>
      <c r="D294" s="120" t="s">
        <v>272</v>
      </c>
      <c r="E294" s="132" t="s">
        <v>778</v>
      </c>
    </row>
    <row r="295" spans="2:5" ht="24">
      <c r="B295" s="131">
        <v>387</v>
      </c>
      <c r="D295" s="120" t="s">
        <v>273</v>
      </c>
      <c r="E295" s="132" t="s">
        <v>779</v>
      </c>
    </row>
    <row r="296" spans="2:5" ht="24">
      <c r="B296" s="131">
        <v>388</v>
      </c>
      <c r="D296" s="120" t="s">
        <v>274</v>
      </c>
      <c r="E296" s="132" t="s">
        <v>780</v>
      </c>
    </row>
    <row r="297" spans="2:5" ht="24">
      <c r="B297" s="131">
        <v>389</v>
      </c>
      <c r="D297" s="120" t="s">
        <v>275</v>
      </c>
      <c r="E297" s="132" t="s">
        <v>781</v>
      </c>
    </row>
    <row r="298" spans="2:5" ht="24">
      <c r="B298" s="131">
        <v>390</v>
      </c>
      <c r="D298" s="120" t="s">
        <v>276</v>
      </c>
      <c r="E298" s="132" t="s">
        <v>782</v>
      </c>
    </row>
    <row r="299" spans="2:5" ht="24">
      <c r="B299" s="131">
        <v>391</v>
      </c>
      <c r="D299" s="120" t="s">
        <v>277</v>
      </c>
      <c r="E299" s="132" t="s">
        <v>783</v>
      </c>
    </row>
    <row r="300" spans="2:5" ht="24">
      <c r="B300" s="131">
        <v>392</v>
      </c>
      <c r="D300" s="120" t="s">
        <v>278</v>
      </c>
      <c r="E300" s="132" t="s">
        <v>784</v>
      </c>
    </row>
    <row r="301" spans="2:5" ht="24">
      <c r="B301" s="131">
        <v>393</v>
      </c>
      <c r="D301" s="120" t="s">
        <v>279</v>
      </c>
      <c r="E301" s="132" t="s">
        <v>785</v>
      </c>
    </row>
    <row r="302" spans="2:5" ht="24">
      <c r="B302" s="131">
        <v>394</v>
      </c>
      <c r="D302" s="120" t="s">
        <v>280</v>
      </c>
      <c r="E302" s="132" t="s">
        <v>786</v>
      </c>
    </row>
    <row r="303" spans="2:5" ht="24">
      <c r="B303" s="131">
        <v>395</v>
      </c>
      <c r="D303" s="120" t="s">
        <v>281</v>
      </c>
      <c r="E303" s="132" t="s">
        <v>787</v>
      </c>
    </row>
    <row r="304" spans="2:5" ht="24">
      <c r="B304" s="131">
        <v>396</v>
      </c>
      <c r="D304" s="120" t="s">
        <v>282</v>
      </c>
      <c r="E304" s="132" t="s">
        <v>788</v>
      </c>
    </row>
    <row r="305" spans="2:5" ht="24">
      <c r="B305" s="131">
        <v>397</v>
      </c>
      <c r="D305" s="120" t="s">
        <v>283</v>
      </c>
      <c r="E305" s="132" t="s">
        <v>789</v>
      </c>
    </row>
    <row r="306" spans="2:5" ht="24">
      <c r="B306" s="131">
        <v>398</v>
      </c>
      <c r="D306" s="120" t="s">
        <v>284</v>
      </c>
      <c r="E306" s="132" t="s">
        <v>790</v>
      </c>
    </row>
    <row r="307" spans="2:5" ht="24">
      <c r="B307" s="131">
        <v>399</v>
      </c>
      <c r="D307" s="120" t="s">
        <v>285</v>
      </c>
      <c r="E307" s="132" t="s">
        <v>791</v>
      </c>
    </row>
    <row r="308" spans="2:5" ht="24">
      <c r="B308" s="131">
        <v>400</v>
      </c>
      <c r="D308" s="120" t="s">
        <v>286</v>
      </c>
      <c r="E308" s="132" t="s">
        <v>792</v>
      </c>
    </row>
    <row r="309" spans="2:5" ht="24">
      <c r="B309" s="131">
        <v>401</v>
      </c>
      <c r="D309" s="120" t="s">
        <v>287</v>
      </c>
      <c r="E309" s="132" t="s">
        <v>793</v>
      </c>
    </row>
    <row r="310" spans="2:5" ht="24">
      <c r="B310" s="131">
        <v>402</v>
      </c>
      <c r="D310" s="120" t="s">
        <v>288</v>
      </c>
      <c r="E310" s="132" t="s">
        <v>794</v>
      </c>
    </row>
    <row r="311" spans="2:5" ht="24">
      <c r="B311" s="131">
        <v>403</v>
      </c>
      <c r="D311" s="120" t="s">
        <v>289</v>
      </c>
      <c r="E311" s="132" t="s">
        <v>795</v>
      </c>
    </row>
    <row r="312" spans="2:5" ht="24">
      <c r="B312" s="131">
        <v>404</v>
      </c>
      <c r="D312" s="120" t="s">
        <v>290</v>
      </c>
      <c r="E312" s="132" t="s">
        <v>796</v>
      </c>
    </row>
    <row r="313" spans="2:5">
      <c r="B313" s="131">
        <v>405</v>
      </c>
      <c r="D313" s="120" t="s">
        <v>494</v>
      </c>
      <c r="E313" s="132" t="s">
        <v>797</v>
      </c>
    </row>
    <row r="314" spans="2:5">
      <c r="B314" s="131">
        <v>406</v>
      </c>
      <c r="D314" s="120" t="s">
        <v>495</v>
      </c>
      <c r="E314" s="132" t="s">
        <v>797</v>
      </c>
    </row>
    <row r="315" spans="2:5">
      <c r="B315" s="131">
        <v>407</v>
      </c>
      <c r="D315" s="120" t="s">
        <v>291</v>
      </c>
      <c r="E315" s="132" t="s">
        <v>798</v>
      </c>
    </row>
    <row r="316" spans="2:5" ht="24">
      <c r="B316" s="131">
        <v>408</v>
      </c>
      <c r="D316" s="120" t="s">
        <v>292</v>
      </c>
      <c r="E316" s="132" t="s">
        <v>799</v>
      </c>
    </row>
    <row r="317" spans="2:5">
      <c r="B317" s="131">
        <v>409</v>
      </c>
      <c r="D317" s="120" t="s">
        <v>293</v>
      </c>
      <c r="E317" s="132" t="s">
        <v>800</v>
      </c>
    </row>
    <row r="318" spans="2:5" ht="24">
      <c r="B318" s="131">
        <v>410</v>
      </c>
      <c r="D318" s="120" t="s">
        <v>294</v>
      </c>
      <c r="E318" s="132" t="s">
        <v>801</v>
      </c>
    </row>
    <row r="319" spans="2:5">
      <c r="B319" s="131">
        <v>411</v>
      </c>
      <c r="D319" s="120" t="s">
        <v>496</v>
      </c>
      <c r="E319" s="132" t="s">
        <v>802</v>
      </c>
    </row>
    <row r="320" spans="2:5" ht="24">
      <c r="B320" s="131">
        <v>412</v>
      </c>
      <c r="D320" s="120" t="s">
        <v>497</v>
      </c>
      <c r="E320" s="132" t="s">
        <v>803</v>
      </c>
    </row>
    <row r="321" spans="1:6">
      <c r="B321" s="131">
        <v>413</v>
      </c>
      <c r="D321" s="120" t="s">
        <v>295</v>
      </c>
      <c r="E321" s="132" t="s">
        <v>804</v>
      </c>
    </row>
    <row r="322" spans="1:6" ht="24">
      <c r="B322" s="131">
        <v>414</v>
      </c>
      <c r="D322" s="120" t="s">
        <v>296</v>
      </c>
      <c r="E322" s="132" t="s">
        <v>805</v>
      </c>
    </row>
    <row r="323" spans="1:6">
      <c r="B323" s="131">
        <v>415</v>
      </c>
      <c r="D323" s="120" t="s">
        <v>297</v>
      </c>
      <c r="E323" s="132" t="s">
        <v>806</v>
      </c>
    </row>
    <row r="324" spans="1:6" ht="36">
      <c r="B324" s="131">
        <v>416</v>
      </c>
      <c r="D324" s="120" t="s">
        <v>298</v>
      </c>
      <c r="E324" s="132" t="s">
        <v>807</v>
      </c>
    </row>
    <row r="325" spans="1:6">
      <c r="B325" s="131">
        <v>417</v>
      </c>
      <c r="D325" s="120" t="s">
        <v>299</v>
      </c>
      <c r="E325" s="132" t="s">
        <v>808</v>
      </c>
    </row>
    <row r="326" spans="1:6" ht="24">
      <c r="B326" s="131">
        <v>418</v>
      </c>
      <c r="D326" s="120" t="s">
        <v>300</v>
      </c>
      <c r="E326" s="132" t="s">
        <v>809</v>
      </c>
    </row>
    <row r="327" spans="1:6" ht="24">
      <c r="B327" s="131">
        <v>419</v>
      </c>
      <c r="D327" s="120" t="s">
        <v>301</v>
      </c>
      <c r="E327" s="132" t="s">
        <v>810</v>
      </c>
    </row>
    <row r="328" spans="1:6" ht="24">
      <c r="B328" s="131">
        <v>420</v>
      </c>
      <c r="D328" s="120" t="s">
        <v>302</v>
      </c>
      <c r="E328" s="132" t="s">
        <v>811</v>
      </c>
    </row>
    <row r="329" spans="1:6">
      <c r="B329" s="131">
        <v>421</v>
      </c>
      <c r="D329" s="120" t="s">
        <v>303</v>
      </c>
      <c r="E329" s="132" t="s">
        <v>812</v>
      </c>
    </row>
    <row r="330" spans="1:6">
      <c r="B330" s="131">
        <v>422</v>
      </c>
      <c r="D330" s="120" t="s">
        <v>304</v>
      </c>
      <c r="E330" s="132" t="s">
        <v>813</v>
      </c>
    </row>
    <row r="331" spans="1:6">
      <c r="B331" s="131">
        <v>423</v>
      </c>
      <c r="D331" s="120" t="s">
        <v>305</v>
      </c>
      <c r="E331" s="132" t="s">
        <v>814</v>
      </c>
    </row>
    <row r="332" spans="1:6">
      <c r="B332" s="131">
        <v>424</v>
      </c>
      <c r="D332" s="120" t="s">
        <v>306</v>
      </c>
      <c r="E332" s="132" t="s">
        <v>815</v>
      </c>
    </row>
    <row r="333" spans="1:6">
      <c r="B333" s="131">
        <v>425</v>
      </c>
      <c r="D333" s="120" t="s">
        <v>307</v>
      </c>
      <c r="E333" s="132" t="s">
        <v>816</v>
      </c>
    </row>
    <row r="334" spans="1:6">
      <c r="B334" s="131">
        <v>426</v>
      </c>
      <c r="D334" s="120" t="s">
        <v>308</v>
      </c>
      <c r="E334" s="132" t="s">
        <v>817</v>
      </c>
    </row>
    <row r="335" spans="1:6">
      <c r="B335" s="131">
        <v>427</v>
      </c>
      <c r="D335" s="120" t="s">
        <v>498</v>
      </c>
      <c r="E335" s="132" t="s">
        <v>818</v>
      </c>
    </row>
    <row r="336" spans="1:6" ht="38.25">
      <c r="A336" s="126"/>
      <c r="B336" s="131">
        <v>428</v>
      </c>
      <c r="C336" s="129" t="s">
        <v>924</v>
      </c>
      <c r="D336" s="126" t="s">
        <v>960</v>
      </c>
      <c r="E336" s="126" t="s">
        <v>961</v>
      </c>
      <c r="F336" s="127"/>
    </row>
    <row r="337" spans="2:5" ht="36">
      <c r="B337" s="131">
        <v>429</v>
      </c>
      <c r="D337" s="120" t="s">
        <v>309</v>
      </c>
      <c r="E337" s="132" t="s">
        <v>819</v>
      </c>
    </row>
    <row r="338" spans="2:5">
      <c r="B338" s="131">
        <v>430</v>
      </c>
      <c r="D338" s="120" t="s">
        <v>310</v>
      </c>
      <c r="E338" s="132" t="s">
        <v>820</v>
      </c>
    </row>
    <row r="339" spans="2:5">
      <c r="B339" s="131">
        <v>431</v>
      </c>
      <c r="D339" s="120" t="s">
        <v>311</v>
      </c>
      <c r="E339" s="132" t="s">
        <v>821</v>
      </c>
    </row>
    <row r="340" spans="2:5">
      <c r="B340" s="131">
        <v>432</v>
      </c>
      <c r="D340" s="120" t="s">
        <v>312</v>
      </c>
      <c r="E340" s="132" t="s">
        <v>822</v>
      </c>
    </row>
    <row r="341" spans="2:5" ht="24">
      <c r="B341" s="131">
        <v>433</v>
      </c>
      <c r="D341" s="120" t="s">
        <v>313</v>
      </c>
      <c r="E341" s="132" t="s">
        <v>823</v>
      </c>
    </row>
    <row r="342" spans="2:5">
      <c r="B342" s="131">
        <v>434</v>
      </c>
      <c r="D342" s="120" t="s">
        <v>314</v>
      </c>
      <c r="E342" s="132" t="s">
        <v>824</v>
      </c>
    </row>
    <row r="343" spans="2:5">
      <c r="B343" s="131">
        <v>435</v>
      </c>
      <c r="D343" s="120" t="s">
        <v>315</v>
      </c>
      <c r="E343" s="132" t="s">
        <v>825</v>
      </c>
    </row>
    <row r="344" spans="2:5">
      <c r="B344" s="131">
        <v>436</v>
      </c>
      <c r="D344" s="120" t="s">
        <v>316</v>
      </c>
      <c r="E344" s="132" t="s">
        <v>826</v>
      </c>
    </row>
    <row r="345" spans="2:5">
      <c r="B345" s="131">
        <v>437</v>
      </c>
      <c r="D345" s="120" t="s">
        <v>317</v>
      </c>
      <c r="E345" s="132" t="s">
        <v>827</v>
      </c>
    </row>
    <row r="346" spans="2:5">
      <c r="B346" s="131">
        <v>438</v>
      </c>
      <c r="D346" s="120" t="s">
        <v>499</v>
      </c>
      <c r="E346" s="132" t="s">
        <v>828</v>
      </c>
    </row>
    <row r="347" spans="2:5">
      <c r="B347" s="131">
        <v>439</v>
      </c>
      <c r="D347" s="120" t="s">
        <v>318</v>
      </c>
      <c r="E347" s="132" t="s">
        <v>829</v>
      </c>
    </row>
    <row r="348" spans="2:5">
      <c r="B348" s="131">
        <v>440</v>
      </c>
      <c r="D348" s="120" t="s">
        <v>500</v>
      </c>
      <c r="E348" s="132" t="s">
        <v>830</v>
      </c>
    </row>
    <row r="349" spans="2:5" ht="24">
      <c r="B349" s="131">
        <v>441</v>
      </c>
      <c r="D349" s="120" t="s">
        <v>319</v>
      </c>
      <c r="E349" s="132" t="s">
        <v>831</v>
      </c>
    </row>
    <row r="350" spans="2:5">
      <c r="B350" s="131">
        <v>442</v>
      </c>
      <c r="D350" s="120" t="s">
        <v>320</v>
      </c>
      <c r="E350" s="132" t="s">
        <v>832</v>
      </c>
    </row>
    <row r="351" spans="2:5">
      <c r="B351" s="131">
        <v>443</v>
      </c>
      <c r="D351" s="120" t="s">
        <v>321</v>
      </c>
      <c r="E351" s="132" t="s">
        <v>833</v>
      </c>
    </row>
    <row r="352" spans="2:5">
      <c r="B352" s="131">
        <v>444</v>
      </c>
      <c r="D352" s="120" t="s">
        <v>322</v>
      </c>
      <c r="E352" s="132" t="s">
        <v>834</v>
      </c>
    </row>
    <row r="353" spans="2:5" ht="36">
      <c r="B353" s="131">
        <v>445</v>
      </c>
      <c r="D353" s="120" t="s">
        <v>389</v>
      </c>
      <c r="E353" s="132" t="s">
        <v>835</v>
      </c>
    </row>
    <row r="354" spans="2:5">
      <c r="B354" s="131">
        <v>446</v>
      </c>
      <c r="D354" s="120" t="s">
        <v>323</v>
      </c>
      <c r="E354" s="132" t="s">
        <v>836</v>
      </c>
    </row>
    <row r="355" spans="2:5">
      <c r="B355" s="131">
        <v>447</v>
      </c>
      <c r="D355" s="120" t="s">
        <v>324</v>
      </c>
      <c r="E355" s="132" t="s">
        <v>837</v>
      </c>
    </row>
    <row r="356" spans="2:5">
      <c r="B356" s="131">
        <v>448</v>
      </c>
      <c r="D356" s="120" t="s">
        <v>325</v>
      </c>
      <c r="E356" s="132" t="s">
        <v>838</v>
      </c>
    </row>
    <row r="357" spans="2:5">
      <c r="B357" s="131">
        <v>449</v>
      </c>
      <c r="D357" s="120" t="s">
        <v>326</v>
      </c>
      <c r="E357" s="132" t="s">
        <v>839</v>
      </c>
    </row>
    <row r="358" spans="2:5">
      <c r="B358" s="131">
        <v>450</v>
      </c>
      <c r="D358" s="120" t="s">
        <v>327</v>
      </c>
      <c r="E358" s="132" t="s">
        <v>840</v>
      </c>
    </row>
    <row r="359" spans="2:5" ht="24">
      <c r="B359" s="131">
        <v>451</v>
      </c>
      <c r="D359" s="120" t="s">
        <v>328</v>
      </c>
      <c r="E359" s="132" t="s">
        <v>841</v>
      </c>
    </row>
    <row r="360" spans="2:5">
      <c r="B360" s="131">
        <v>452</v>
      </c>
      <c r="D360" s="120" t="s">
        <v>329</v>
      </c>
      <c r="E360" s="132" t="s">
        <v>842</v>
      </c>
    </row>
    <row r="361" spans="2:5">
      <c r="B361" s="131">
        <v>453</v>
      </c>
      <c r="D361" s="120" t="s">
        <v>330</v>
      </c>
      <c r="E361" s="132" t="s">
        <v>843</v>
      </c>
    </row>
    <row r="362" spans="2:5">
      <c r="B362" s="131">
        <v>454</v>
      </c>
      <c r="D362" s="120" t="s">
        <v>331</v>
      </c>
      <c r="E362" s="132" t="s">
        <v>844</v>
      </c>
    </row>
    <row r="363" spans="2:5" ht="24">
      <c r="B363" s="131">
        <v>455</v>
      </c>
      <c r="D363" s="120" t="s">
        <v>501</v>
      </c>
      <c r="E363" s="132" t="s">
        <v>845</v>
      </c>
    </row>
    <row r="364" spans="2:5">
      <c r="B364" s="131">
        <v>456</v>
      </c>
      <c r="D364" s="120" t="s">
        <v>332</v>
      </c>
      <c r="E364" s="132" t="s">
        <v>581</v>
      </c>
    </row>
    <row r="365" spans="2:5">
      <c r="B365" s="131">
        <v>457</v>
      </c>
      <c r="D365" s="120" t="s">
        <v>333</v>
      </c>
      <c r="E365" s="132" t="s">
        <v>846</v>
      </c>
    </row>
    <row r="366" spans="2:5">
      <c r="B366" s="131">
        <v>458</v>
      </c>
      <c r="D366" s="120" t="s">
        <v>334</v>
      </c>
      <c r="E366" s="132" t="s">
        <v>847</v>
      </c>
    </row>
    <row r="367" spans="2:5">
      <c r="B367" s="131">
        <v>459</v>
      </c>
      <c r="D367" s="120" t="s">
        <v>502</v>
      </c>
      <c r="E367" s="132" t="s">
        <v>848</v>
      </c>
    </row>
    <row r="368" spans="2:5" ht="36">
      <c r="B368" s="131">
        <v>460</v>
      </c>
      <c r="D368" s="120" t="s">
        <v>503</v>
      </c>
      <c r="E368" s="132" t="s">
        <v>849</v>
      </c>
    </row>
    <row r="369" spans="1:6">
      <c r="B369" s="131">
        <v>461</v>
      </c>
      <c r="D369" s="120" t="s">
        <v>335</v>
      </c>
      <c r="E369" s="132" t="s">
        <v>582</v>
      </c>
    </row>
    <row r="370" spans="1:6">
      <c r="B370" s="131">
        <v>462</v>
      </c>
      <c r="D370" s="120" t="s">
        <v>336</v>
      </c>
      <c r="E370" s="132" t="s">
        <v>850</v>
      </c>
    </row>
    <row r="371" spans="1:6">
      <c r="B371" s="131">
        <v>463</v>
      </c>
      <c r="D371" s="120" t="s">
        <v>337</v>
      </c>
      <c r="E371" s="132" t="s">
        <v>851</v>
      </c>
    </row>
    <row r="372" spans="1:6" ht="36">
      <c r="B372" s="131">
        <v>464</v>
      </c>
      <c r="D372" s="120" t="s">
        <v>338</v>
      </c>
      <c r="E372" s="132" t="s">
        <v>852</v>
      </c>
    </row>
    <row r="373" spans="1:6">
      <c r="B373" s="131">
        <v>465</v>
      </c>
      <c r="D373" s="120" t="s">
        <v>339</v>
      </c>
      <c r="E373" s="132" t="s">
        <v>853</v>
      </c>
    </row>
    <row r="374" spans="1:6">
      <c r="A374" s="122"/>
      <c r="B374" s="131">
        <v>466</v>
      </c>
      <c r="C374" s="130" t="s">
        <v>512</v>
      </c>
      <c r="D374" s="121" t="s">
        <v>904</v>
      </c>
      <c r="E374" s="121" t="s">
        <v>962</v>
      </c>
      <c r="F374" s="123"/>
    </row>
    <row r="375" spans="1:6">
      <c r="A375" s="122"/>
      <c r="B375" s="131">
        <v>467</v>
      </c>
      <c r="C375" s="130" t="s">
        <v>512</v>
      </c>
      <c r="D375" s="121" t="s">
        <v>963</v>
      </c>
      <c r="E375" s="121" t="s">
        <v>905</v>
      </c>
      <c r="F375" s="123"/>
    </row>
    <row r="376" spans="1:6" ht="12.75">
      <c r="B376" s="131">
        <v>468</v>
      </c>
      <c r="D376" s="120" t="s">
        <v>340</v>
      </c>
      <c r="E376" s="159" t="s">
        <v>911</v>
      </c>
    </row>
    <row r="377" spans="1:6">
      <c r="B377" s="131">
        <v>469</v>
      </c>
      <c r="D377" s="120" t="s">
        <v>341</v>
      </c>
      <c r="E377" s="132" t="s">
        <v>854</v>
      </c>
    </row>
    <row r="378" spans="1:6">
      <c r="B378" s="131">
        <v>470</v>
      </c>
      <c r="D378" s="120" t="s">
        <v>342</v>
      </c>
      <c r="E378" s="132" t="s">
        <v>583</v>
      </c>
    </row>
    <row r="379" spans="1:6" ht="24">
      <c r="B379" s="131">
        <v>471</v>
      </c>
      <c r="D379" s="120" t="s">
        <v>343</v>
      </c>
      <c r="E379" s="132" t="s">
        <v>855</v>
      </c>
    </row>
    <row r="380" spans="1:6">
      <c r="B380" s="131">
        <v>472</v>
      </c>
      <c r="D380" s="120" t="s">
        <v>344</v>
      </c>
      <c r="E380" s="132" t="s">
        <v>584</v>
      </c>
    </row>
    <row r="381" spans="1:6" ht="24">
      <c r="B381" s="131">
        <v>473</v>
      </c>
      <c r="D381" s="120" t="s">
        <v>345</v>
      </c>
      <c r="E381" s="132" t="s">
        <v>856</v>
      </c>
    </row>
    <row r="382" spans="1:6">
      <c r="B382" s="131">
        <v>474</v>
      </c>
      <c r="D382" s="120" t="s">
        <v>346</v>
      </c>
      <c r="E382" s="132" t="s">
        <v>585</v>
      </c>
    </row>
    <row r="383" spans="1:6">
      <c r="B383" s="131">
        <v>475</v>
      </c>
      <c r="D383" s="120" t="s">
        <v>347</v>
      </c>
      <c r="E383" s="132" t="s">
        <v>857</v>
      </c>
    </row>
    <row r="384" spans="1:6">
      <c r="B384" s="131">
        <v>476</v>
      </c>
      <c r="D384" s="120" t="s">
        <v>348</v>
      </c>
      <c r="E384" s="132" t="s">
        <v>858</v>
      </c>
    </row>
    <row r="385" spans="2:5">
      <c r="B385" s="131">
        <v>477</v>
      </c>
      <c r="D385" s="120" t="s">
        <v>349</v>
      </c>
      <c r="E385" s="132" t="s">
        <v>859</v>
      </c>
    </row>
    <row r="386" spans="2:5">
      <c r="B386" s="131">
        <v>478</v>
      </c>
      <c r="D386" s="120" t="s">
        <v>350</v>
      </c>
      <c r="E386" s="132" t="s">
        <v>860</v>
      </c>
    </row>
    <row r="387" spans="2:5">
      <c r="B387" s="131">
        <v>479</v>
      </c>
      <c r="D387" s="120" t="s">
        <v>351</v>
      </c>
      <c r="E387" s="132" t="s">
        <v>861</v>
      </c>
    </row>
    <row r="388" spans="2:5">
      <c r="B388" s="131">
        <v>480</v>
      </c>
      <c r="D388" s="120" t="s">
        <v>352</v>
      </c>
      <c r="E388" s="132" t="s">
        <v>352</v>
      </c>
    </row>
    <row r="389" spans="2:5">
      <c r="B389" s="131">
        <v>481</v>
      </c>
      <c r="D389" s="120" t="s">
        <v>504</v>
      </c>
      <c r="E389" s="132" t="s">
        <v>862</v>
      </c>
    </row>
    <row r="390" spans="2:5" ht="24">
      <c r="B390" s="131">
        <v>482</v>
      </c>
      <c r="D390" s="120" t="s">
        <v>353</v>
      </c>
      <c r="E390" s="132" t="s">
        <v>863</v>
      </c>
    </row>
    <row r="391" spans="2:5">
      <c r="B391" s="131">
        <v>483</v>
      </c>
      <c r="D391" s="120" t="s">
        <v>354</v>
      </c>
      <c r="E391" s="132" t="s">
        <v>354</v>
      </c>
    </row>
    <row r="392" spans="2:5">
      <c r="B392" s="131">
        <v>484</v>
      </c>
      <c r="D392" s="120" t="s">
        <v>505</v>
      </c>
    </row>
    <row r="393" spans="2:5">
      <c r="B393" s="131">
        <v>485</v>
      </c>
      <c r="D393" s="120" t="s">
        <v>355</v>
      </c>
      <c r="E393" s="132" t="s">
        <v>586</v>
      </c>
    </row>
    <row r="394" spans="2:5">
      <c r="B394" s="131">
        <v>486</v>
      </c>
      <c r="D394" s="120" t="s">
        <v>506</v>
      </c>
      <c r="E394" s="132" t="s">
        <v>587</v>
      </c>
    </row>
    <row r="395" spans="2:5">
      <c r="B395" s="131">
        <v>487</v>
      </c>
      <c r="D395" s="120" t="s">
        <v>507</v>
      </c>
      <c r="E395" s="132" t="s">
        <v>588</v>
      </c>
    </row>
    <row r="396" spans="2:5">
      <c r="B396" s="131">
        <v>488</v>
      </c>
      <c r="D396" s="120" t="s">
        <v>508</v>
      </c>
      <c r="E396" s="132" t="s">
        <v>587</v>
      </c>
    </row>
    <row r="397" spans="2:5">
      <c r="B397" s="131">
        <v>489</v>
      </c>
      <c r="D397" s="120" t="s">
        <v>356</v>
      </c>
      <c r="E397" s="132" t="s">
        <v>589</v>
      </c>
    </row>
    <row r="398" spans="2:5">
      <c r="B398" s="131">
        <v>490</v>
      </c>
      <c r="D398" s="120" t="s">
        <v>357</v>
      </c>
      <c r="E398" s="132" t="s">
        <v>864</v>
      </c>
    </row>
    <row r="399" spans="2:5">
      <c r="B399" s="131">
        <v>491</v>
      </c>
      <c r="D399" s="120" t="s">
        <v>358</v>
      </c>
      <c r="E399" s="132" t="s">
        <v>865</v>
      </c>
    </row>
    <row r="400" spans="2:5">
      <c r="B400" s="131">
        <v>492</v>
      </c>
      <c r="D400" s="120" t="s">
        <v>359</v>
      </c>
      <c r="E400" s="132" t="s">
        <v>590</v>
      </c>
    </row>
    <row r="401" spans="1:6">
      <c r="B401" s="131">
        <v>493</v>
      </c>
      <c r="D401" s="120" t="s">
        <v>360</v>
      </c>
    </row>
    <row r="402" spans="1:6">
      <c r="B402" s="131">
        <v>494</v>
      </c>
      <c r="D402" s="120" t="s">
        <v>361</v>
      </c>
    </row>
    <row r="403" spans="1:6">
      <c r="B403" s="131">
        <v>495</v>
      </c>
      <c r="D403" s="120" t="s">
        <v>362</v>
      </c>
      <c r="E403" s="132" t="s">
        <v>866</v>
      </c>
    </row>
    <row r="404" spans="1:6">
      <c r="B404" s="131">
        <v>496</v>
      </c>
      <c r="D404" s="120" t="s">
        <v>509</v>
      </c>
      <c r="E404" s="132" t="s">
        <v>867</v>
      </c>
    </row>
    <row r="405" spans="1:6">
      <c r="B405" s="131">
        <v>497</v>
      </c>
      <c r="D405" s="120" t="s">
        <v>363</v>
      </c>
      <c r="E405" s="132" t="s">
        <v>868</v>
      </c>
    </row>
    <row r="406" spans="1:6">
      <c r="B406" s="131">
        <v>498</v>
      </c>
      <c r="D406" s="120" t="s">
        <v>432</v>
      </c>
      <c r="E406" s="132" t="s">
        <v>869</v>
      </c>
    </row>
    <row r="407" spans="1:6">
      <c r="B407" s="131">
        <v>499</v>
      </c>
      <c r="D407" s="120" t="s">
        <v>364</v>
      </c>
      <c r="E407" s="132" t="s">
        <v>868</v>
      </c>
    </row>
    <row r="408" spans="1:6" ht="25.5">
      <c r="A408" s="126"/>
      <c r="B408" s="131">
        <v>500</v>
      </c>
      <c r="C408" s="126"/>
      <c r="D408" s="126" t="s">
        <v>964</v>
      </c>
      <c r="E408" s="126" t="s">
        <v>965</v>
      </c>
      <c r="F408" s="127"/>
    </row>
    <row r="409" spans="1:6">
      <c r="B409" s="131">
        <v>501</v>
      </c>
      <c r="D409" s="120" t="s">
        <v>365</v>
      </c>
      <c r="E409" s="132" t="s">
        <v>365</v>
      </c>
    </row>
    <row r="410" spans="1:6">
      <c r="B410" s="131">
        <v>502</v>
      </c>
      <c r="D410" s="120" t="s">
        <v>366</v>
      </c>
      <c r="E410" s="132" t="s">
        <v>870</v>
      </c>
    </row>
    <row r="411" spans="1:6">
      <c r="B411" s="131">
        <v>503</v>
      </c>
      <c r="D411" s="120" t="s">
        <v>367</v>
      </c>
      <c r="E411" s="132" t="s">
        <v>871</v>
      </c>
    </row>
    <row r="412" spans="1:6">
      <c r="B412" s="131">
        <v>504</v>
      </c>
      <c r="D412" s="120" t="s">
        <v>510</v>
      </c>
      <c r="E412" s="132" t="s">
        <v>872</v>
      </c>
    </row>
    <row r="413" spans="1:6">
      <c r="B413" s="131">
        <v>505</v>
      </c>
      <c r="D413" s="120" t="s">
        <v>368</v>
      </c>
      <c r="E413" s="132" t="s">
        <v>873</v>
      </c>
    </row>
    <row r="414" spans="1:6">
      <c r="B414" s="131">
        <v>506</v>
      </c>
      <c r="D414" s="120" t="s">
        <v>369</v>
      </c>
      <c r="E414" s="132" t="s">
        <v>874</v>
      </c>
    </row>
    <row r="415" spans="1:6">
      <c r="B415" s="131">
        <v>507</v>
      </c>
      <c r="D415" s="120" t="s">
        <v>370</v>
      </c>
      <c r="E415" s="132" t="s">
        <v>875</v>
      </c>
    </row>
    <row r="416" spans="1:6">
      <c r="B416" s="131">
        <v>508</v>
      </c>
      <c r="D416" s="120" t="s">
        <v>511</v>
      </c>
      <c r="E416" s="132" t="s">
        <v>876</v>
      </c>
    </row>
    <row r="417" spans="1:6" ht="24">
      <c r="B417" s="131">
        <v>509</v>
      </c>
      <c r="D417" s="120" t="s">
        <v>371</v>
      </c>
      <c r="E417" s="132" t="s">
        <v>877</v>
      </c>
    </row>
    <row r="418" spans="1:6">
      <c r="B418" s="131">
        <v>510</v>
      </c>
      <c r="D418" s="120" t="s">
        <v>372</v>
      </c>
      <c r="E418" s="132" t="s">
        <v>875</v>
      </c>
    </row>
    <row r="419" spans="1:6">
      <c r="B419" s="131">
        <v>511</v>
      </c>
      <c r="D419" s="120" t="s">
        <v>373</v>
      </c>
      <c r="E419" s="132" t="s">
        <v>878</v>
      </c>
    </row>
    <row r="420" spans="1:6">
      <c r="B420" s="131">
        <v>512</v>
      </c>
      <c r="D420" s="120" t="s">
        <v>374</v>
      </c>
      <c r="E420" s="132" t="s">
        <v>879</v>
      </c>
    </row>
    <row r="421" spans="1:6">
      <c r="B421" s="131">
        <v>513</v>
      </c>
      <c r="D421" s="120" t="s">
        <v>375</v>
      </c>
      <c r="E421" s="132" t="s">
        <v>880</v>
      </c>
    </row>
    <row r="422" spans="1:6" s="126" customFormat="1" ht="12.75">
      <c r="A422" s="119"/>
      <c r="B422" s="131">
        <v>514</v>
      </c>
      <c r="C422" s="128"/>
      <c r="D422" s="120" t="s">
        <v>376</v>
      </c>
      <c r="E422" s="132" t="s">
        <v>881</v>
      </c>
      <c r="F422" s="119"/>
    </row>
    <row r="423" spans="1:6" s="126" customFormat="1" ht="12.75">
      <c r="A423" s="119"/>
      <c r="B423" s="131">
        <v>515</v>
      </c>
      <c r="C423" s="128"/>
      <c r="D423" s="120" t="s">
        <v>377</v>
      </c>
      <c r="E423" s="132" t="s">
        <v>882</v>
      </c>
      <c r="F423" s="119"/>
    </row>
    <row r="424" spans="1:6" s="122" customFormat="1">
      <c r="A424" s="119"/>
      <c r="B424" s="131">
        <v>516</v>
      </c>
      <c r="C424" s="128"/>
      <c r="D424" s="120" t="s">
        <v>378</v>
      </c>
      <c r="E424" s="132" t="s">
        <v>874</v>
      </c>
      <c r="F424" s="119"/>
    </row>
    <row r="425" spans="1:6" s="122" customFormat="1" ht="24">
      <c r="A425" s="119"/>
      <c r="B425" s="131">
        <v>517</v>
      </c>
      <c r="C425" s="128"/>
      <c r="D425" s="120" t="s">
        <v>379</v>
      </c>
      <c r="E425" s="132" t="s">
        <v>883</v>
      </c>
      <c r="F425" s="119"/>
    </row>
    <row r="426" spans="1:6" s="122" customFormat="1" ht="36">
      <c r="A426" s="119"/>
      <c r="B426" s="131">
        <v>518</v>
      </c>
      <c r="C426" s="128"/>
      <c r="D426" s="120" t="s">
        <v>380</v>
      </c>
      <c r="E426" s="132" t="s">
        <v>884</v>
      </c>
      <c r="F426" s="119"/>
    </row>
    <row r="427" spans="1:6" s="122" customFormat="1">
      <c r="A427" s="119"/>
      <c r="B427" s="131">
        <v>519</v>
      </c>
      <c r="C427" s="128"/>
      <c r="D427" s="120" t="s">
        <v>381</v>
      </c>
      <c r="E427" s="132" t="s">
        <v>885</v>
      </c>
      <c r="F427" s="119"/>
    </row>
    <row r="428" spans="1:6" s="122" customFormat="1" ht="36">
      <c r="A428" s="119"/>
      <c r="B428" s="131">
        <v>520</v>
      </c>
      <c r="C428" s="128"/>
      <c r="D428" s="120" t="s">
        <v>382</v>
      </c>
      <c r="E428" s="132" t="s">
        <v>886</v>
      </c>
      <c r="F428" s="119"/>
    </row>
    <row r="429" spans="1:6" s="122" customFormat="1">
      <c r="A429" s="119"/>
      <c r="B429" s="131">
        <v>521</v>
      </c>
      <c r="C429" s="128"/>
      <c r="D429" s="120" t="s">
        <v>383</v>
      </c>
      <c r="E429" s="132" t="s">
        <v>887</v>
      </c>
      <c r="F429" s="119"/>
    </row>
    <row r="430" spans="1:6" s="122" customFormat="1">
      <c r="A430" s="119"/>
      <c r="B430" s="131">
        <v>522</v>
      </c>
      <c r="C430" s="128"/>
      <c r="D430" s="120" t="s">
        <v>384</v>
      </c>
      <c r="E430" s="132" t="s">
        <v>888</v>
      </c>
      <c r="F430" s="119"/>
    </row>
    <row r="431" spans="1:6" s="122" customFormat="1">
      <c r="A431" s="119"/>
      <c r="B431" s="131">
        <v>523</v>
      </c>
      <c r="C431" s="128"/>
      <c r="D431" s="120" t="s">
        <v>385</v>
      </c>
      <c r="E431" s="132" t="s">
        <v>889</v>
      </c>
      <c r="F431" s="119"/>
    </row>
    <row r="432" spans="1:6" s="122" customFormat="1">
      <c r="A432" s="119"/>
      <c r="B432" s="131">
        <v>524</v>
      </c>
      <c r="C432" s="128"/>
      <c r="D432" s="120" t="s">
        <v>386</v>
      </c>
      <c r="E432" s="132" t="s">
        <v>890</v>
      </c>
      <c r="F432" s="119"/>
    </row>
    <row r="433" spans="1:6" s="122" customFormat="1">
      <c r="A433" s="119"/>
      <c r="B433" s="131">
        <v>525</v>
      </c>
      <c r="C433" s="128"/>
      <c r="D433" s="120" t="s">
        <v>387</v>
      </c>
      <c r="E433" s="132" t="s">
        <v>891</v>
      </c>
      <c r="F433" s="119"/>
    </row>
    <row r="434" spans="1:6" s="122" customFormat="1">
      <c r="A434" s="119"/>
      <c r="B434" s="131">
        <v>526</v>
      </c>
      <c r="C434" s="128"/>
      <c r="D434" s="120" t="s">
        <v>388</v>
      </c>
      <c r="E434" s="132" t="s">
        <v>892</v>
      </c>
      <c r="F434" s="119"/>
    </row>
    <row r="435" spans="1:6">
      <c r="B435" s="131">
        <v>527</v>
      </c>
      <c r="D435" s="120" t="s">
        <v>967</v>
      </c>
      <c r="E435" s="132" t="s">
        <v>970</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81"/>
  <sheetViews>
    <sheetView topLeftCell="A94" zoomScale="85" zoomScaleNormal="85" workbookViewId="0">
      <selection activeCell="H177" sqref="H177"/>
    </sheetView>
  </sheetViews>
  <sheetFormatPr defaultColWidth="9.75" defaultRowHeight="14.25"/>
  <cols>
    <col min="1" max="1" width="9.75" style="90"/>
    <col min="2" max="2" width="9.75" style="91"/>
    <col min="3" max="4" width="9.75" style="92"/>
    <col min="5" max="5" width="9.75" style="91"/>
    <col min="6" max="16384" width="9.75" style="89"/>
  </cols>
  <sheetData>
    <row r="1" spans="1:8">
      <c r="A1" s="87" t="s">
        <v>390</v>
      </c>
      <c r="B1" s="87" t="s">
        <v>391</v>
      </c>
      <c r="C1" s="88" t="s">
        <v>392</v>
      </c>
      <c r="D1" s="88" t="s">
        <v>393</v>
      </c>
      <c r="E1" s="87" t="s">
        <v>394</v>
      </c>
      <c r="F1" s="87" t="s">
        <v>395</v>
      </c>
      <c r="G1" s="87" t="s">
        <v>396</v>
      </c>
      <c r="H1" s="87" t="s">
        <v>397</v>
      </c>
    </row>
    <row r="2" spans="1:8">
      <c r="A2" s="90" t="s">
        <v>968</v>
      </c>
      <c r="B2" s="91" t="s">
        <v>1071</v>
      </c>
      <c r="C2" s="92" t="s">
        <v>1092</v>
      </c>
      <c r="D2" s="92">
        <v>43525</v>
      </c>
      <c r="E2" s="93">
        <v>43555</v>
      </c>
      <c r="F2" s="92">
        <v>43520</v>
      </c>
      <c r="G2" s="92">
        <v>43526</v>
      </c>
      <c r="H2" s="89">
        <v>0</v>
      </c>
    </row>
    <row r="3" spans="1:8">
      <c r="A3" s="90" t="s">
        <v>968</v>
      </c>
      <c r="B3" s="91" t="s">
        <v>1071</v>
      </c>
      <c r="C3" s="92" t="s">
        <v>1092</v>
      </c>
      <c r="D3" s="92">
        <v>43525</v>
      </c>
      <c r="E3" s="93">
        <v>43555</v>
      </c>
      <c r="F3" s="92">
        <v>43527</v>
      </c>
      <c r="G3" s="92">
        <v>43533</v>
      </c>
      <c r="H3" s="89">
        <v>5</v>
      </c>
    </row>
    <row r="4" spans="1:8">
      <c r="A4" s="90" t="s">
        <v>968</v>
      </c>
      <c r="B4" s="91" t="s">
        <v>1071</v>
      </c>
      <c r="C4" s="92" t="s">
        <v>1092</v>
      </c>
      <c r="D4" s="92">
        <v>43525</v>
      </c>
      <c r="E4" s="93">
        <v>43555</v>
      </c>
      <c r="F4" s="92">
        <v>43534</v>
      </c>
      <c r="G4" s="92">
        <v>43540</v>
      </c>
      <c r="H4" s="89">
        <v>5</v>
      </c>
    </row>
    <row r="5" spans="1:8">
      <c r="A5" s="90" t="s">
        <v>968</v>
      </c>
      <c r="B5" s="91" t="s">
        <v>1071</v>
      </c>
      <c r="C5" s="92" t="s">
        <v>1092</v>
      </c>
      <c r="D5" s="92">
        <v>43525</v>
      </c>
      <c r="E5" s="93">
        <v>43555</v>
      </c>
      <c r="F5" s="92">
        <v>43541</v>
      </c>
      <c r="G5" s="92">
        <v>43547</v>
      </c>
      <c r="H5" s="89">
        <v>5</v>
      </c>
    </row>
    <row r="6" spans="1:8">
      <c r="A6" s="90" t="s">
        <v>968</v>
      </c>
      <c r="B6" s="91" t="s">
        <v>1071</v>
      </c>
      <c r="C6" s="92" t="s">
        <v>1092</v>
      </c>
      <c r="D6" s="92">
        <v>43525</v>
      </c>
      <c r="E6" s="93">
        <v>43555</v>
      </c>
      <c r="F6" s="92">
        <v>43548</v>
      </c>
      <c r="G6" s="92">
        <v>43554</v>
      </c>
      <c r="H6" s="89">
        <v>5</v>
      </c>
    </row>
    <row r="7" spans="1:8">
      <c r="A7" s="90" t="s">
        <v>968</v>
      </c>
      <c r="B7" s="91" t="s">
        <v>1071</v>
      </c>
      <c r="C7" s="92" t="s">
        <v>1092</v>
      </c>
      <c r="D7" s="92">
        <v>43525</v>
      </c>
      <c r="E7" s="93">
        <v>43555</v>
      </c>
      <c r="F7" s="92">
        <v>43555</v>
      </c>
      <c r="G7" s="92">
        <v>43561</v>
      </c>
      <c r="H7" s="89">
        <v>0</v>
      </c>
    </row>
    <row r="8" spans="1:8">
      <c r="A8" s="90" t="s">
        <v>991</v>
      </c>
      <c r="B8" s="91" t="s">
        <v>1072</v>
      </c>
      <c r="C8" s="92" t="s">
        <v>1092</v>
      </c>
      <c r="D8" s="92">
        <v>43556</v>
      </c>
      <c r="E8" s="93">
        <v>43569</v>
      </c>
      <c r="F8" s="92">
        <v>43555</v>
      </c>
      <c r="G8" s="92">
        <v>43561</v>
      </c>
      <c r="H8" s="89">
        <v>5</v>
      </c>
    </row>
    <row r="9" spans="1:8">
      <c r="A9" s="90" t="s">
        <v>991</v>
      </c>
      <c r="B9" s="91" t="s">
        <v>1072</v>
      </c>
      <c r="C9" s="92" t="s">
        <v>1092</v>
      </c>
      <c r="D9" s="92">
        <v>43556</v>
      </c>
      <c r="E9" s="93">
        <v>43569</v>
      </c>
      <c r="F9" s="92">
        <v>43562</v>
      </c>
      <c r="G9" s="92">
        <v>43568</v>
      </c>
      <c r="H9" s="89">
        <v>5</v>
      </c>
    </row>
    <row r="10" spans="1:8">
      <c r="A10" s="90" t="s">
        <v>991</v>
      </c>
      <c r="B10" s="91" t="s">
        <v>1072</v>
      </c>
      <c r="C10" s="92" t="s">
        <v>1092</v>
      </c>
      <c r="D10" s="92">
        <v>43556</v>
      </c>
      <c r="E10" s="93">
        <v>43569</v>
      </c>
      <c r="F10" s="92">
        <v>43569</v>
      </c>
      <c r="G10" s="92">
        <v>43575</v>
      </c>
      <c r="H10" s="89">
        <v>0</v>
      </c>
    </row>
    <row r="11" spans="1:8">
      <c r="A11" s="90" t="s">
        <v>1084</v>
      </c>
      <c r="B11" s="91" t="s">
        <v>1073</v>
      </c>
      <c r="C11" s="92" t="s">
        <v>1092</v>
      </c>
      <c r="D11" s="92">
        <v>43570</v>
      </c>
      <c r="E11" s="93">
        <v>43590</v>
      </c>
      <c r="F11" s="92">
        <v>43569</v>
      </c>
      <c r="G11" s="92">
        <v>43575</v>
      </c>
      <c r="H11" s="89">
        <v>5</v>
      </c>
    </row>
    <row r="12" spans="1:8">
      <c r="A12" s="90" t="s">
        <v>1084</v>
      </c>
      <c r="B12" s="91" t="s">
        <v>1073</v>
      </c>
      <c r="C12" s="92" t="s">
        <v>1092</v>
      </c>
      <c r="D12" s="92">
        <v>43570</v>
      </c>
      <c r="E12" s="93">
        <v>43590</v>
      </c>
      <c r="F12" s="92">
        <v>43576</v>
      </c>
      <c r="G12" s="92">
        <v>43582</v>
      </c>
      <c r="H12" s="89">
        <v>5</v>
      </c>
    </row>
    <row r="13" spans="1:8">
      <c r="A13" s="90" t="s">
        <v>1084</v>
      </c>
      <c r="B13" s="91" t="s">
        <v>1073</v>
      </c>
      <c r="C13" s="92" t="s">
        <v>1092</v>
      </c>
      <c r="D13" s="92">
        <v>43570</v>
      </c>
      <c r="E13" s="93">
        <v>43590</v>
      </c>
      <c r="F13" s="92">
        <v>43583</v>
      </c>
      <c r="G13" s="92">
        <v>43589</v>
      </c>
      <c r="H13" s="89">
        <v>5</v>
      </c>
    </row>
    <row r="14" spans="1:8">
      <c r="A14" s="90" t="s">
        <v>1084</v>
      </c>
      <c r="B14" s="91" t="s">
        <v>1073</v>
      </c>
      <c r="C14" s="92" t="s">
        <v>1092</v>
      </c>
      <c r="D14" s="92">
        <v>43570</v>
      </c>
      <c r="E14" s="93">
        <v>43590</v>
      </c>
      <c r="F14" s="92">
        <v>43590</v>
      </c>
      <c r="G14" s="92">
        <v>43596</v>
      </c>
      <c r="H14" s="89">
        <v>0</v>
      </c>
    </row>
    <row r="15" spans="1:8">
      <c r="A15" s="90" t="s">
        <v>1085</v>
      </c>
      <c r="B15" s="91" t="s">
        <v>1074</v>
      </c>
      <c r="C15" s="92" t="s">
        <v>1092</v>
      </c>
      <c r="D15" s="92">
        <v>43591</v>
      </c>
      <c r="E15" s="93">
        <v>43677</v>
      </c>
      <c r="F15" s="92">
        <v>43590</v>
      </c>
      <c r="G15" s="92">
        <v>43596</v>
      </c>
      <c r="H15" s="89">
        <v>4</v>
      </c>
    </row>
    <row r="16" spans="1:8">
      <c r="A16" s="90" t="s">
        <v>1085</v>
      </c>
      <c r="B16" s="91" t="s">
        <v>1074</v>
      </c>
      <c r="C16" s="92" t="s">
        <v>1092</v>
      </c>
      <c r="D16" s="92">
        <v>43591</v>
      </c>
      <c r="E16" s="93">
        <v>43677</v>
      </c>
      <c r="F16" s="92">
        <v>43597</v>
      </c>
      <c r="G16" s="92">
        <v>43603</v>
      </c>
      <c r="H16" s="89">
        <v>5</v>
      </c>
    </row>
    <row r="17" spans="1:8">
      <c r="A17" s="90" t="s">
        <v>1085</v>
      </c>
      <c r="B17" s="91" t="s">
        <v>1074</v>
      </c>
      <c r="C17" s="92" t="s">
        <v>1092</v>
      </c>
      <c r="D17" s="92">
        <v>43591</v>
      </c>
      <c r="E17" s="93">
        <v>43677</v>
      </c>
      <c r="F17" s="92">
        <v>43604</v>
      </c>
      <c r="G17" s="92">
        <v>43610</v>
      </c>
      <c r="H17" s="89">
        <v>5</v>
      </c>
    </row>
    <row r="18" spans="1:8">
      <c r="A18" s="90" t="s">
        <v>1085</v>
      </c>
      <c r="B18" s="91" t="s">
        <v>1074</v>
      </c>
      <c r="C18" s="92" t="s">
        <v>1092</v>
      </c>
      <c r="D18" s="92">
        <v>43591</v>
      </c>
      <c r="E18" s="93">
        <v>43677</v>
      </c>
      <c r="F18" s="92">
        <v>43611</v>
      </c>
      <c r="G18" s="92">
        <v>43617</v>
      </c>
      <c r="H18" s="89">
        <v>5</v>
      </c>
    </row>
    <row r="19" spans="1:8">
      <c r="A19" s="90" t="s">
        <v>1085</v>
      </c>
      <c r="B19" s="91" t="s">
        <v>1074</v>
      </c>
      <c r="C19" s="92" t="s">
        <v>1092</v>
      </c>
      <c r="D19" s="92">
        <v>43591</v>
      </c>
      <c r="E19" s="93">
        <v>43677</v>
      </c>
      <c r="F19" s="92">
        <v>43618</v>
      </c>
      <c r="G19" s="92">
        <v>43624</v>
      </c>
      <c r="H19" s="89">
        <v>4</v>
      </c>
    </row>
    <row r="20" spans="1:8">
      <c r="A20" s="90" t="s">
        <v>1085</v>
      </c>
      <c r="B20" s="91" t="s">
        <v>1074</v>
      </c>
      <c r="C20" s="92" t="s">
        <v>1092</v>
      </c>
      <c r="D20" s="92">
        <v>43591</v>
      </c>
      <c r="E20" s="93">
        <v>43677</v>
      </c>
      <c r="F20" s="92">
        <v>43625</v>
      </c>
      <c r="G20" s="92">
        <v>43631</v>
      </c>
      <c r="H20" s="89">
        <v>5</v>
      </c>
    </row>
    <row r="21" spans="1:8">
      <c r="A21" s="90" t="s">
        <v>1085</v>
      </c>
      <c r="B21" s="91" t="s">
        <v>1074</v>
      </c>
      <c r="C21" s="92" t="s">
        <v>1092</v>
      </c>
      <c r="D21" s="92">
        <v>43591</v>
      </c>
      <c r="E21" s="93">
        <v>43677</v>
      </c>
      <c r="F21" s="92">
        <v>43632</v>
      </c>
      <c r="G21" s="92">
        <v>43638</v>
      </c>
      <c r="H21" s="89">
        <v>5</v>
      </c>
    </row>
    <row r="22" spans="1:8">
      <c r="A22" s="90" t="s">
        <v>1085</v>
      </c>
      <c r="B22" s="91" t="s">
        <v>1074</v>
      </c>
      <c r="C22" s="92" t="s">
        <v>1092</v>
      </c>
      <c r="D22" s="92">
        <v>43591</v>
      </c>
      <c r="E22" s="93">
        <v>43677</v>
      </c>
      <c r="F22" s="92">
        <v>43639</v>
      </c>
      <c r="G22" s="92">
        <v>43645</v>
      </c>
      <c r="H22" s="89">
        <v>5</v>
      </c>
    </row>
    <row r="23" spans="1:8">
      <c r="A23" s="90" t="s">
        <v>1085</v>
      </c>
      <c r="B23" s="91" t="s">
        <v>1074</v>
      </c>
      <c r="C23" s="92" t="s">
        <v>1092</v>
      </c>
      <c r="D23" s="92">
        <v>43591</v>
      </c>
      <c r="E23" s="93">
        <v>43677</v>
      </c>
      <c r="F23" s="92">
        <v>43646</v>
      </c>
      <c r="G23" s="92">
        <v>43652</v>
      </c>
      <c r="H23" s="89">
        <v>5</v>
      </c>
    </row>
    <row r="24" spans="1:8">
      <c r="A24" s="90" t="s">
        <v>1085</v>
      </c>
      <c r="B24" s="91" t="s">
        <v>1074</v>
      </c>
      <c r="C24" s="92" t="s">
        <v>1092</v>
      </c>
      <c r="D24" s="92">
        <v>43591</v>
      </c>
      <c r="E24" s="93">
        <v>43677</v>
      </c>
      <c r="F24" s="92">
        <v>43653</v>
      </c>
      <c r="G24" s="92">
        <v>43659</v>
      </c>
      <c r="H24" s="89">
        <v>5</v>
      </c>
    </row>
    <row r="25" spans="1:8">
      <c r="A25" s="90" t="s">
        <v>1085</v>
      </c>
      <c r="B25" s="91" t="s">
        <v>1074</v>
      </c>
      <c r="C25" s="92" t="s">
        <v>1092</v>
      </c>
      <c r="D25" s="92">
        <v>43591</v>
      </c>
      <c r="E25" s="93">
        <v>43677</v>
      </c>
      <c r="F25" s="92">
        <v>43660</v>
      </c>
      <c r="G25" s="92">
        <v>43666</v>
      </c>
      <c r="H25" s="89">
        <v>5</v>
      </c>
    </row>
    <row r="26" spans="1:8">
      <c r="A26" s="90" t="s">
        <v>1085</v>
      </c>
      <c r="B26" s="91" t="s">
        <v>1074</v>
      </c>
      <c r="C26" s="92" t="s">
        <v>1092</v>
      </c>
      <c r="D26" s="92">
        <v>43591</v>
      </c>
      <c r="E26" s="93">
        <v>43677</v>
      </c>
      <c r="F26" s="92">
        <v>43667</v>
      </c>
      <c r="G26" s="92">
        <v>43673</v>
      </c>
      <c r="H26" s="89">
        <v>5</v>
      </c>
    </row>
    <row r="27" spans="1:8">
      <c r="A27" s="90" t="s">
        <v>1085</v>
      </c>
      <c r="B27" s="91" t="s">
        <v>1074</v>
      </c>
      <c r="C27" s="92" t="s">
        <v>1092</v>
      </c>
      <c r="D27" s="92">
        <v>43591</v>
      </c>
      <c r="E27" s="93">
        <v>43677</v>
      </c>
      <c r="F27" s="92">
        <v>43674</v>
      </c>
      <c r="G27" s="92">
        <v>43680</v>
      </c>
      <c r="H27" s="89">
        <v>3</v>
      </c>
    </row>
    <row r="28" spans="1:8">
      <c r="A28" s="90" t="s">
        <v>1086</v>
      </c>
      <c r="B28" s="91" t="s">
        <v>1075</v>
      </c>
      <c r="C28" s="92" t="s">
        <v>1092</v>
      </c>
      <c r="D28" s="92">
        <v>43678</v>
      </c>
      <c r="E28" s="93">
        <v>43708</v>
      </c>
      <c r="F28" s="92">
        <v>43674</v>
      </c>
      <c r="G28" s="92">
        <v>43680</v>
      </c>
      <c r="H28" s="89">
        <v>2</v>
      </c>
    </row>
    <row r="29" spans="1:8">
      <c r="A29" s="90" t="s">
        <v>1086</v>
      </c>
      <c r="B29" s="91" t="s">
        <v>1075</v>
      </c>
      <c r="C29" s="92" t="s">
        <v>1092</v>
      </c>
      <c r="D29" s="92">
        <v>43678</v>
      </c>
      <c r="E29" s="93">
        <v>43708</v>
      </c>
      <c r="F29" s="92">
        <v>43681</v>
      </c>
      <c r="G29" s="92">
        <v>43687</v>
      </c>
      <c r="H29" s="89">
        <v>5</v>
      </c>
    </row>
    <row r="30" spans="1:8">
      <c r="A30" s="90" t="s">
        <v>1086</v>
      </c>
      <c r="B30" s="91" t="s">
        <v>1075</v>
      </c>
      <c r="C30" s="92" t="s">
        <v>1092</v>
      </c>
      <c r="D30" s="92">
        <v>43678</v>
      </c>
      <c r="E30" s="93">
        <v>43708</v>
      </c>
      <c r="F30" s="92">
        <v>43688</v>
      </c>
      <c r="G30" s="92">
        <v>43694</v>
      </c>
      <c r="H30" s="89">
        <v>4</v>
      </c>
    </row>
    <row r="31" spans="1:8">
      <c r="A31" s="90" t="s">
        <v>1086</v>
      </c>
      <c r="B31" s="91" t="s">
        <v>1075</v>
      </c>
      <c r="C31" s="92" t="s">
        <v>1092</v>
      </c>
      <c r="D31" s="92">
        <v>43678</v>
      </c>
      <c r="E31" s="93">
        <v>43708</v>
      </c>
      <c r="F31" s="92">
        <v>43695</v>
      </c>
      <c r="G31" s="92">
        <v>43701</v>
      </c>
      <c r="H31" s="89">
        <v>5</v>
      </c>
    </row>
    <row r="32" spans="1:8">
      <c r="A32" s="90" t="s">
        <v>1086</v>
      </c>
      <c r="B32" s="91" t="s">
        <v>1075</v>
      </c>
      <c r="C32" s="92" t="s">
        <v>1092</v>
      </c>
      <c r="D32" s="92">
        <v>43678</v>
      </c>
      <c r="E32" s="93">
        <v>43708</v>
      </c>
      <c r="F32" s="92">
        <v>43702</v>
      </c>
      <c r="G32" s="92">
        <v>43708</v>
      </c>
      <c r="H32" s="89">
        <v>5</v>
      </c>
    </row>
    <row r="33" spans="1:8">
      <c r="A33" s="90" t="s">
        <v>429</v>
      </c>
      <c r="B33" s="91" t="s">
        <v>1076</v>
      </c>
      <c r="C33" s="92" t="s">
        <v>1093</v>
      </c>
      <c r="D33" s="92">
        <v>43556</v>
      </c>
      <c r="E33" s="93">
        <v>43569</v>
      </c>
      <c r="F33" s="92">
        <v>43555</v>
      </c>
      <c r="G33" s="92">
        <v>43561</v>
      </c>
      <c r="H33" s="89">
        <v>5</v>
      </c>
    </row>
    <row r="34" spans="1:8">
      <c r="A34" s="90" t="s">
        <v>429</v>
      </c>
      <c r="B34" s="91" t="s">
        <v>1076</v>
      </c>
      <c r="C34" s="92" t="s">
        <v>1093</v>
      </c>
      <c r="D34" s="92">
        <v>43556</v>
      </c>
      <c r="E34" s="93">
        <v>43569</v>
      </c>
      <c r="F34" s="92">
        <v>43562</v>
      </c>
      <c r="G34" s="92">
        <v>43568</v>
      </c>
      <c r="H34" s="89">
        <v>5</v>
      </c>
    </row>
    <row r="35" spans="1:8">
      <c r="A35" s="90" t="s">
        <v>429</v>
      </c>
      <c r="B35" s="91" t="s">
        <v>1076</v>
      </c>
      <c r="C35" s="92" t="s">
        <v>1093</v>
      </c>
      <c r="D35" s="92">
        <v>43556</v>
      </c>
      <c r="E35" s="93">
        <v>43569</v>
      </c>
      <c r="F35" s="92">
        <v>43569</v>
      </c>
      <c r="G35" s="92">
        <v>43575</v>
      </c>
      <c r="H35" s="89">
        <v>0</v>
      </c>
    </row>
    <row r="36" spans="1:8">
      <c r="A36" s="90" t="s">
        <v>430</v>
      </c>
      <c r="B36" s="91" t="s">
        <v>1077</v>
      </c>
      <c r="C36" s="92" t="s">
        <v>1094</v>
      </c>
      <c r="D36" s="92">
        <v>43556</v>
      </c>
      <c r="E36" s="93">
        <v>43616</v>
      </c>
      <c r="F36" s="92">
        <v>43555</v>
      </c>
      <c r="G36" s="92">
        <v>43561</v>
      </c>
      <c r="H36" s="89">
        <v>5</v>
      </c>
    </row>
    <row r="37" spans="1:8">
      <c r="A37" s="90" t="s">
        <v>430</v>
      </c>
      <c r="B37" s="91" t="s">
        <v>1077</v>
      </c>
      <c r="C37" s="92" t="s">
        <v>1094</v>
      </c>
      <c r="D37" s="92">
        <v>43556</v>
      </c>
      <c r="E37" s="93">
        <v>43616</v>
      </c>
      <c r="F37" s="92">
        <v>43562</v>
      </c>
      <c r="G37" s="92">
        <v>43568</v>
      </c>
      <c r="H37" s="89">
        <v>5</v>
      </c>
    </row>
    <row r="38" spans="1:8">
      <c r="A38" s="90" t="s">
        <v>430</v>
      </c>
      <c r="B38" s="91" t="s">
        <v>1077</v>
      </c>
      <c r="C38" s="92" t="s">
        <v>1094</v>
      </c>
      <c r="D38" s="92">
        <v>43556</v>
      </c>
      <c r="E38" s="93">
        <v>43616</v>
      </c>
      <c r="F38" s="92">
        <v>43569</v>
      </c>
      <c r="G38" s="92">
        <v>43575</v>
      </c>
      <c r="H38" s="89">
        <v>5</v>
      </c>
    </row>
    <row r="39" spans="1:8">
      <c r="A39" s="90" t="s">
        <v>430</v>
      </c>
      <c r="B39" s="91" t="s">
        <v>1077</v>
      </c>
      <c r="C39" s="92" t="s">
        <v>1094</v>
      </c>
      <c r="D39" s="92">
        <v>43556</v>
      </c>
      <c r="E39" s="93">
        <v>43616</v>
      </c>
      <c r="F39" s="92">
        <v>43576</v>
      </c>
      <c r="G39" s="92">
        <v>43582</v>
      </c>
      <c r="H39" s="89">
        <v>5</v>
      </c>
    </row>
    <row r="40" spans="1:8">
      <c r="A40" s="90" t="s">
        <v>430</v>
      </c>
      <c r="B40" s="91" t="s">
        <v>1077</v>
      </c>
      <c r="C40" s="92" t="s">
        <v>1094</v>
      </c>
      <c r="D40" s="92">
        <v>43556</v>
      </c>
      <c r="E40" s="93">
        <v>43616</v>
      </c>
      <c r="F40" s="92">
        <v>43583</v>
      </c>
      <c r="G40" s="92">
        <v>43589</v>
      </c>
      <c r="H40" s="89">
        <v>5</v>
      </c>
    </row>
    <row r="41" spans="1:8">
      <c r="A41" s="90" t="s">
        <v>430</v>
      </c>
      <c r="B41" s="91" t="s">
        <v>1077</v>
      </c>
      <c r="C41" s="92" t="s">
        <v>1094</v>
      </c>
      <c r="D41" s="92">
        <v>43556</v>
      </c>
      <c r="E41" s="93">
        <v>43616</v>
      </c>
      <c r="F41" s="92">
        <v>43590</v>
      </c>
      <c r="G41" s="92">
        <v>43596</v>
      </c>
      <c r="H41" s="89">
        <v>4</v>
      </c>
    </row>
    <row r="42" spans="1:8">
      <c r="A42" s="90" t="s">
        <v>430</v>
      </c>
      <c r="B42" s="91" t="s">
        <v>1077</v>
      </c>
      <c r="C42" s="92" t="s">
        <v>1094</v>
      </c>
      <c r="D42" s="92">
        <v>43556</v>
      </c>
      <c r="E42" s="93">
        <v>43616</v>
      </c>
      <c r="F42" s="92">
        <v>43597</v>
      </c>
      <c r="G42" s="92">
        <v>43603</v>
      </c>
      <c r="H42" s="89">
        <v>5</v>
      </c>
    </row>
    <row r="43" spans="1:8">
      <c r="A43" s="90" t="s">
        <v>430</v>
      </c>
      <c r="B43" s="91" t="s">
        <v>1077</v>
      </c>
      <c r="C43" s="92" t="s">
        <v>1094</v>
      </c>
      <c r="D43" s="92">
        <v>43556</v>
      </c>
      <c r="E43" s="93">
        <v>43616</v>
      </c>
      <c r="F43" s="92">
        <v>43604</v>
      </c>
      <c r="G43" s="92">
        <v>43610</v>
      </c>
      <c r="H43" s="89">
        <v>5</v>
      </c>
    </row>
    <row r="44" spans="1:8">
      <c r="A44" s="90" t="s">
        <v>430</v>
      </c>
      <c r="B44" s="91" t="s">
        <v>1077</v>
      </c>
      <c r="C44" s="92" t="s">
        <v>1094</v>
      </c>
      <c r="D44" s="92">
        <v>43556</v>
      </c>
      <c r="E44" s="93">
        <v>43616</v>
      </c>
      <c r="F44" s="92">
        <v>43611</v>
      </c>
      <c r="G44" s="92">
        <v>43617</v>
      </c>
      <c r="H44" s="89">
        <v>5</v>
      </c>
    </row>
    <row r="45" spans="1:8">
      <c r="A45" s="90" t="s">
        <v>431</v>
      </c>
      <c r="B45" s="91" t="s">
        <v>1078</v>
      </c>
      <c r="C45" s="92" t="s">
        <v>1094</v>
      </c>
      <c r="D45" s="92">
        <v>43617</v>
      </c>
      <c r="E45" s="93">
        <v>43677</v>
      </c>
      <c r="F45" s="92">
        <v>43611</v>
      </c>
      <c r="G45" s="92">
        <v>43617</v>
      </c>
      <c r="H45" s="89">
        <v>0</v>
      </c>
    </row>
    <row r="46" spans="1:8">
      <c r="A46" s="90" t="s">
        <v>431</v>
      </c>
      <c r="B46" s="91" t="s">
        <v>1078</v>
      </c>
      <c r="C46" s="92" t="s">
        <v>1094</v>
      </c>
      <c r="D46" s="92">
        <v>43617</v>
      </c>
      <c r="E46" s="93">
        <v>43677</v>
      </c>
      <c r="F46" s="92">
        <v>43618</v>
      </c>
      <c r="G46" s="92">
        <v>43624</v>
      </c>
      <c r="H46" s="89">
        <v>4</v>
      </c>
    </row>
    <row r="47" spans="1:8">
      <c r="A47" s="90" t="s">
        <v>431</v>
      </c>
      <c r="B47" s="91" t="s">
        <v>1078</v>
      </c>
      <c r="C47" s="92" t="s">
        <v>1094</v>
      </c>
      <c r="D47" s="92">
        <v>43617</v>
      </c>
      <c r="E47" s="93">
        <v>43677</v>
      </c>
      <c r="F47" s="92">
        <v>43625</v>
      </c>
      <c r="G47" s="92">
        <v>43631</v>
      </c>
      <c r="H47" s="89">
        <v>5</v>
      </c>
    </row>
    <row r="48" spans="1:8">
      <c r="A48" s="90" t="s">
        <v>431</v>
      </c>
      <c r="B48" s="91" t="s">
        <v>1078</v>
      </c>
      <c r="C48" s="92" t="s">
        <v>1094</v>
      </c>
      <c r="D48" s="92">
        <v>43617</v>
      </c>
      <c r="E48" s="93">
        <v>43677</v>
      </c>
      <c r="F48" s="92">
        <v>43632</v>
      </c>
      <c r="G48" s="92">
        <v>43638</v>
      </c>
      <c r="H48" s="89">
        <v>5</v>
      </c>
    </row>
    <row r="49" spans="1:8">
      <c r="A49" s="90" t="s">
        <v>431</v>
      </c>
      <c r="B49" s="91" t="s">
        <v>1078</v>
      </c>
      <c r="C49" s="92" t="s">
        <v>1094</v>
      </c>
      <c r="D49" s="92">
        <v>43617</v>
      </c>
      <c r="E49" s="93">
        <v>43677</v>
      </c>
      <c r="F49" s="92">
        <v>43639</v>
      </c>
      <c r="G49" s="92">
        <v>43645</v>
      </c>
      <c r="H49" s="89">
        <v>5</v>
      </c>
    </row>
    <row r="50" spans="1:8">
      <c r="A50" s="90" t="s">
        <v>431</v>
      </c>
      <c r="B50" s="91" t="s">
        <v>1078</v>
      </c>
      <c r="C50" s="92" t="s">
        <v>1094</v>
      </c>
      <c r="D50" s="92">
        <v>43617</v>
      </c>
      <c r="E50" s="93">
        <v>43677</v>
      </c>
      <c r="F50" s="92">
        <v>43646</v>
      </c>
      <c r="G50" s="92">
        <v>43652</v>
      </c>
      <c r="H50" s="89">
        <v>5</v>
      </c>
    </row>
    <row r="51" spans="1:8">
      <c r="A51" s="90" t="s">
        <v>431</v>
      </c>
      <c r="B51" s="91" t="s">
        <v>1078</v>
      </c>
      <c r="C51" s="92" t="s">
        <v>1094</v>
      </c>
      <c r="D51" s="92">
        <v>43617</v>
      </c>
      <c r="E51" s="93">
        <v>43677</v>
      </c>
      <c r="F51" s="92">
        <v>43653</v>
      </c>
      <c r="G51" s="92">
        <v>43659</v>
      </c>
      <c r="H51" s="89">
        <v>5</v>
      </c>
    </row>
    <row r="52" spans="1:8">
      <c r="A52" s="90" t="s">
        <v>431</v>
      </c>
      <c r="B52" s="91" t="s">
        <v>1078</v>
      </c>
      <c r="C52" s="92" t="s">
        <v>1094</v>
      </c>
      <c r="D52" s="92">
        <v>43617</v>
      </c>
      <c r="E52" s="93">
        <v>43677</v>
      </c>
      <c r="F52" s="92">
        <v>43660</v>
      </c>
      <c r="G52" s="92">
        <v>43666</v>
      </c>
      <c r="H52" s="89">
        <v>5</v>
      </c>
    </row>
    <row r="53" spans="1:8">
      <c r="A53" s="90" t="s">
        <v>431</v>
      </c>
      <c r="B53" s="91" t="s">
        <v>1078</v>
      </c>
      <c r="C53" s="92" t="s">
        <v>1094</v>
      </c>
      <c r="D53" s="92">
        <v>43617</v>
      </c>
      <c r="E53" s="93">
        <v>43677</v>
      </c>
      <c r="F53" s="92">
        <v>43667</v>
      </c>
      <c r="G53" s="92">
        <v>43673</v>
      </c>
      <c r="H53" s="89">
        <v>5</v>
      </c>
    </row>
    <row r="54" spans="1:8">
      <c r="A54" s="90" t="s">
        <v>431</v>
      </c>
      <c r="B54" s="91" t="s">
        <v>1078</v>
      </c>
      <c r="C54" s="92" t="s">
        <v>1094</v>
      </c>
      <c r="D54" s="92">
        <v>43617</v>
      </c>
      <c r="E54" s="93">
        <v>43677</v>
      </c>
      <c r="F54" s="92">
        <v>43674</v>
      </c>
      <c r="G54" s="92">
        <v>43680</v>
      </c>
      <c r="H54" s="89">
        <v>3</v>
      </c>
    </row>
    <row r="55" spans="1:8">
      <c r="A55" s="90" t="s">
        <v>1088</v>
      </c>
      <c r="B55" s="91" t="s">
        <v>1073</v>
      </c>
      <c r="C55" s="92" t="s">
        <v>1095</v>
      </c>
      <c r="D55" s="92">
        <v>43525</v>
      </c>
      <c r="E55" s="93">
        <v>43555</v>
      </c>
      <c r="F55" s="92">
        <v>43520</v>
      </c>
      <c r="G55" s="92">
        <v>43526</v>
      </c>
      <c r="H55" s="89">
        <v>0</v>
      </c>
    </row>
    <row r="56" spans="1:8">
      <c r="A56" s="90" t="s">
        <v>1088</v>
      </c>
      <c r="B56" s="91" t="s">
        <v>1073</v>
      </c>
      <c r="C56" s="92" t="s">
        <v>1095</v>
      </c>
      <c r="D56" s="92">
        <v>43525</v>
      </c>
      <c r="E56" s="93">
        <v>43555</v>
      </c>
      <c r="F56" s="92">
        <v>43527</v>
      </c>
      <c r="G56" s="92">
        <v>43533</v>
      </c>
      <c r="H56" s="89">
        <v>5</v>
      </c>
    </row>
    <row r="57" spans="1:8">
      <c r="A57" s="90" t="s">
        <v>1088</v>
      </c>
      <c r="B57" s="91" t="s">
        <v>1073</v>
      </c>
      <c r="C57" s="92" t="s">
        <v>1095</v>
      </c>
      <c r="D57" s="92">
        <v>43525</v>
      </c>
      <c r="E57" s="93">
        <v>43555</v>
      </c>
      <c r="F57" s="92">
        <v>43534</v>
      </c>
      <c r="G57" s="92">
        <v>43540</v>
      </c>
      <c r="H57" s="89">
        <v>5</v>
      </c>
    </row>
    <row r="58" spans="1:8">
      <c r="A58" s="90" t="s">
        <v>1088</v>
      </c>
      <c r="B58" s="91" t="s">
        <v>1073</v>
      </c>
      <c r="C58" s="92" t="s">
        <v>1095</v>
      </c>
      <c r="D58" s="92">
        <v>43525</v>
      </c>
      <c r="E58" s="93">
        <v>43555</v>
      </c>
      <c r="F58" s="92">
        <v>43541</v>
      </c>
      <c r="G58" s="92">
        <v>43547</v>
      </c>
      <c r="H58" s="89">
        <v>5</v>
      </c>
    </row>
    <row r="59" spans="1:8">
      <c r="A59" s="90" t="s">
        <v>1088</v>
      </c>
      <c r="B59" s="91" t="s">
        <v>1073</v>
      </c>
      <c r="C59" s="92" t="s">
        <v>1095</v>
      </c>
      <c r="D59" s="92">
        <v>43525</v>
      </c>
      <c r="E59" s="93">
        <v>43555</v>
      </c>
      <c r="F59" s="92">
        <v>43548</v>
      </c>
      <c r="G59" s="92">
        <v>43554</v>
      </c>
      <c r="H59" s="89">
        <v>5</v>
      </c>
    </row>
    <row r="60" spans="1:8">
      <c r="A60" s="90" t="s">
        <v>1088</v>
      </c>
      <c r="B60" s="91" t="s">
        <v>1073</v>
      </c>
      <c r="C60" s="92" t="s">
        <v>1095</v>
      </c>
      <c r="D60" s="92">
        <v>43525</v>
      </c>
      <c r="E60" s="93">
        <v>43555</v>
      </c>
      <c r="F60" s="92">
        <v>43555</v>
      </c>
      <c r="G60" s="92">
        <v>43561</v>
      </c>
      <c r="H60" s="89">
        <v>0</v>
      </c>
    </row>
    <row r="61" spans="1:8">
      <c r="A61" s="90" t="s">
        <v>1089</v>
      </c>
      <c r="B61" s="91" t="s">
        <v>1079</v>
      </c>
      <c r="C61" s="92" t="s">
        <v>1095</v>
      </c>
      <c r="D61" s="92">
        <v>43556</v>
      </c>
      <c r="E61" s="93">
        <v>43569</v>
      </c>
      <c r="F61" s="92">
        <v>43555</v>
      </c>
      <c r="G61" s="92">
        <v>43561</v>
      </c>
      <c r="H61" s="89">
        <v>5</v>
      </c>
    </row>
    <row r="62" spans="1:8">
      <c r="A62" s="90" t="s">
        <v>1089</v>
      </c>
      <c r="B62" s="91" t="s">
        <v>1079</v>
      </c>
      <c r="C62" s="92" t="s">
        <v>1095</v>
      </c>
      <c r="D62" s="92">
        <v>43556</v>
      </c>
      <c r="E62" s="93">
        <v>43569</v>
      </c>
      <c r="F62" s="92">
        <v>43562</v>
      </c>
      <c r="G62" s="92">
        <v>43568</v>
      </c>
      <c r="H62" s="89">
        <v>5</v>
      </c>
    </row>
    <row r="63" spans="1:8">
      <c r="A63" s="90" t="s">
        <v>1089</v>
      </c>
      <c r="B63" s="91" t="s">
        <v>1079</v>
      </c>
      <c r="C63" s="92" t="s">
        <v>1095</v>
      </c>
      <c r="D63" s="92">
        <v>43556</v>
      </c>
      <c r="E63" s="93">
        <v>43569</v>
      </c>
      <c r="F63" s="92">
        <v>43569</v>
      </c>
      <c r="G63" s="92">
        <v>43575</v>
      </c>
      <c r="H63" s="89">
        <v>0</v>
      </c>
    </row>
    <row r="64" spans="1:8">
      <c r="A64" s="90" t="s">
        <v>1090</v>
      </c>
      <c r="B64" s="91" t="s">
        <v>1073</v>
      </c>
      <c r="C64" s="92" t="s">
        <v>1095</v>
      </c>
      <c r="D64" s="92">
        <v>43570</v>
      </c>
      <c r="E64" s="93">
        <v>43590</v>
      </c>
      <c r="F64" s="92">
        <v>43569</v>
      </c>
      <c r="G64" s="92">
        <v>43575</v>
      </c>
      <c r="H64" s="89">
        <v>5</v>
      </c>
    </row>
    <row r="65" spans="1:8">
      <c r="A65" s="90" t="s">
        <v>1090</v>
      </c>
      <c r="B65" s="91" t="s">
        <v>1073</v>
      </c>
      <c r="C65" s="92" t="s">
        <v>1095</v>
      </c>
      <c r="D65" s="92">
        <v>43570</v>
      </c>
      <c r="E65" s="93">
        <v>43590</v>
      </c>
      <c r="F65" s="92">
        <v>43576</v>
      </c>
      <c r="G65" s="92">
        <v>43582</v>
      </c>
      <c r="H65" s="89">
        <v>5</v>
      </c>
    </row>
    <row r="66" spans="1:8">
      <c r="A66" s="90" t="s">
        <v>1090</v>
      </c>
      <c r="B66" s="91" t="s">
        <v>1073</v>
      </c>
      <c r="C66" s="92" t="s">
        <v>1095</v>
      </c>
      <c r="D66" s="92">
        <v>43570</v>
      </c>
      <c r="E66" s="93">
        <v>43590</v>
      </c>
      <c r="F66" s="92">
        <v>43583</v>
      </c>
      <c r="G66" s="92">
        <v>43589</v>
      </c>
      <c r="H66" s="89">
        <v>5</v>
      </c>
    </row>
    <row r="67" spans="1:8">
      <c r="A67" s="90" t="s">
        <v>1090</v>
      </c>
      <c r="B67" s="91" t="s">
        <v>1073</v>
      </c>
      <c r="C67" s="92" t="s">
        <v>1095</v>
      </c>
      <c r="D67" s="92">
        <v>43570</v>
      </c>
      <c r="E67" s="93">
        <v>43590</v>
      </c>
      <c r="F67" s="92">
        <v>43590</v>
      </c>
      <c r="G67" s="92">
        <v>43596</v>
      </c>
      <c r="H67" s="89">
        <v>0</v>
      </c>
    </row>
    <row r="68" spans="1:8">
      <c r="A68" s="90" t="s">
        <v>1091</v>
      </c>
      <c r="B68" s="91" t="s">
        <v>1080</v>
      </c>
      <c r="C68" s="92" t="s">
        <v>1095</v>
      </c>
      <c r="D68" s="92">
        <v>43591</v>
      </c>
      <c r="E68" s="93">
        <v>43677</v>
      </c>
      <c r="F68" s="92">
        <v>43590</v>
      </c>
      <c r="G68" s="92">
        <v>43596</v>
      </c>
      <c r="H68" s="89">
        <v>4</v>
      </c>
    </row>
    <row r="69" spans="1:8">
      <c r="A69" s="90" t="s">
        <v>1091</v>
      </c>
      <c r="B69" s="91" t="s">
        <v>1080</v>
      </c>
      <c r="C69" s="92" t="s">
        <v>1095</v>
      </c>
      <c r="D69" s="92">
        <v>43591</v>
      </c>
      <c r="E69" s="93">
        <v>43677</v>
      </c>
      <c r="F69" s="92">
        <v>43597</v>
      </c>
      <c r="G69" s="92">
        <v>43603</v>
      </c>
      <c r="H69" s="89">
        <v>5</v>
      </c>
    </row>
    <row r="70" spans="1:8">
      <c r="A70" s="90" t="s">
        <v>1091</v>
      </c>
      <c r="B70" s="91" t="s">
        <v>1080</v>
      </c>
      <c r="C70" s="92" t="s">
        <v>1095</v>
      </c>
      <c r="D70" s="92">
        <v>43591</v>
      </c>
      <c r="E70" s="93">
        <v>43677</v>
      </c>
      <c r="F70" s="92">
        <v>43604</v>
      </c>
      <c r="G70" s="92">
        <v>43610</v>
      </c>
      <c r="H70" s="89">
        <v>5</v>
      </c>
    </row>
    <row r="71" spans="1:8">
      <c r="A71" s="90" t="s">
        <v>1091</v>
      </c>
      <c r="B71" s="91" t="s">
        <v>1080</v>
      </c>
      <c r="C71" s="92" t="s">
        <v>1095</v>
      </c>
      <c r="D71" s="92">
        <v>43591</v>
      </c>
      <c r="E71" s="93">
        <v>43677</v>
      </c>
      <c r="F71" s="92">
        <v>43611</v>
      </c>
      <c r="G71" s="92">
        <v>43617</v>
      </c>
      <c r="H71" s="89">
        <v>5</v>
      </c>
    </row>
    <row r="72" spans="1:8">
      <c r="A72" s="90" t="s">
        <v>1091</v>
      </c>
      <c r="B72" s="91" t="s">
        <v>1080</v>
      </c>
      <c r="C72" s="92" t="s">
        <v>1095</v>
      </c>
      <c r="D72" s="92">
        <v>43591</v>
      </c>
      <c r="E72" s="93">
        <v>43677</v>
      </c>
      <c r="F72" s="92">
        <v>43618</v>
      </c>
      <c r="G72" s="92">
        <v>43624</v>
      </c>
      <c r="H72" s="89">
        <v>4</v>
      </c>
    </row>
    <row r="73" spans="1:8">
      <c r="A73" s="90" t="s">
        <v>1091</v>
      </c>
      <c r="B73" s="91" t="s">
        <v>1080</v>
      </c>
      <c r="C73" s="92" t="s">
        <v>1095</v>
      </c>
      <c r="D73" s="92">
        <v>43591</v>
      </c>
      <c r="E73" s="93">
        <v>43677</v>
      </c>
      <c r="F73" s="92">
        <v>43625</v>
      </c>
      <c r="G73" s="92">
        <v>43631</v>
      </c>
      <c r="H73" s="89">
        <v>5</v>
      </c>
    </row>
    <row r="74" spans="1:8">
      <c r="A74" s="90" t="s">
        <v>1091</v>
      </c>
      <c r="B74" s="91" t="s">
        <v>1080</v>
      </c>
      <c r="C74" s="92" t="s">
        <v>1095</v>
      </c>
      <c r="D74" s="92">
        <v>43591</v>
      </c>
      <c r="E74" s="93">
        <v>43677</v>
      </c>
      <c r="F74" s="92">
        <v>43632</v>
      </c>
      <c r="G74" s="92">
        <v>43638</v>
      </c>
      <c r="H74" s="89">
        <v>5</v>
      </c>
    </row>
    <row r="75" spans="1:8">
      <c r="A75" s="90" t="s">
        <v>1091</v>
      </c>
      <c r="B75" s="91" t="s">
        <v>1080</v>
      </c>
      <c r="C75" s="92" t="s">
        <v>1095</v>
      </c>
      <c r="D75" s="92">
        <v>43591</v>
      </c>
      <c r="E75" s="93">
        <v>43677</v>
      </c>
      <c r="F75" s="92">
        <v>43639</v>
      </c>
      <c r="G75" s="92">
        <v>43645</v>
      </c>
      <c r="H75" s="89">
        <v>5</v>
      </c>
    </row>
    <row r="76" spans="1:8">
      <c r="A76" s="90" t="s">
        <v>1091</v>
      </c>
      <c r="B76" s="91" t="s">
        <v>1080</v>
      </c>
      <c r="C76" s="92" t="s">
        <v>1095</v>
      </c>
      <c r="D76" s="92">
        <v>43591</v>
      </c>
      <c r="E76" s="93">
        <v>43677</v>
      </c>
      <c r="F76" s="92">
        <v>43646</v>
      </c>
      <c r="G76" s="92">
        <v>43652</v>
      </c>
      <c r="H76" s="89">
        <v>5</v>
      </c>
    </row>
    <row r="77" spans="1:8">
      <c r="A77" s="90" t="s">
        <v>1091</v>
      </c>
      <c r="B77" s="91" t="s">
        <v>1080</v>
      </c>
      <c r="C77" s="92" t="s">
        <v>1095</v>
      </c>
      <c r="D77" s="92">
        <v>43591</v>
      </c>
      <c r="E77" s="93">
        <v>43677</v>
      </c>
      <c r="F77" s="92">
        <v>43653</v>
      </c>
      <c r="G77" s="92">
        <v>43659</v>
      </c>
      <c r="H77" s="89">
        <v>5</v>
      </c>
    </row>
    <row r="78" spans="1:8">
      <c r="A78" s="90" t="s">
        <v>1091</v>
      </c>
      <c r="B78" s="91" t="s">
        <v>1080</v>
      </c>
      <c r="C78" s="92" t="s">
        <v>1095</v>
      </c>
      <c r="D78" s="92">
        <v>43591</v>
      </c>
      <c r="E78" s="93">
        <v>43677</v>
      </c>
      <c r="F78" s="92">
        <v>43660</v>
      </c>
      <c r="G78" s="92">
        <v>43666</v>
      </c>
      <c r="H78" s="89">
        <v>5</v>
      </c>
    </row>
    <row r="79" spans="1:8">
      <c r="A79" s="90" t="s">
        <v>1091</v>
      </c>
      <c r="B79" s="91" t="s">
        <v>1080</v>
      </c>
      <c r="C79" s="92" t="s">
        <v>1095</v>
      </c>
      <c r="D79" s="92">
        <v>43591</v>
      </c>
      <c r="E79" s="93">
        <v>43677</v>
      </c>
      <c r="F79" s="92">
        <v>43667</v>
      </c>
      <c r="G79" s="92">
        <v>43673</v>
      </c>
      <c r="H79" s="89">
        <v>5</v>
      </c>
    </row>
    <row r="80" spans="1:8">
      <c r="A80" s="90" t="s">
        <v>1091</v>
      </c>
      <c r="B80" s="91" t="s">
        <v>1080</v>
      </c>
      <c r="C80" s="92" t="s">
        <v>1095</v>
      </c>
      <c r="D80" s="92">
        <v>43591</v>
      </c>
      <c r="E80" s="93">
        <v>43677</v>
      </c>
      <c r="F80" s="92">
        <v>43674</v>
      </c>
      <c r="G80" s="92">
        <v>43680</v>
      </c>
      <c r="H80" s="89">
        <v>3</v>
      </c>
    </row>
    <row r="81" spans="7:8">
      <c r="G81" s="89" t="s">
        <v>3</v>
      </c>
      <c r="H81" s="89">
        <f>SUM(H2:H80)</f>
        <v>329</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ID130"/>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outlineLevelRow="2"/>
  <cols>
    <col min="1" max="1" width="19.875" style="111" hidden="1" customWidth="1"/>
    <col min="2" max="2" width="8.375" style="111" hidden="1" customWidth="1"/>
    <col min="3" max="3" width="9.375" style="111" hidden="1" customWidth="1"/>
    <col min="4" max="4" width="10.125" style="5" customWidth="1"/>
    <col min="5" max="10" width="2.375" style="6" customWidth="1"/>
    <col min="11" max="11" width="10.125" style="6" customWidth="1"/>
    <col min="12" max="12" width="9.75" style="6" customWidth="1"/>
    <col min="13" max="13" width="9.75" style="7" bestFit="1" customWidth="1"/>
    <col min="14" max="14" width="8.875" style="7" bestFit="1" customWidth="1"/>
    <col min="15" max="15" width="7.625" style="6" hidden="1" customWidth="1"/>
    <col min="16" max="16" width="6" style="8" bestFit="1" customWidth="1"/>
    <col min="17" max="17" width="5.375" style="8" bestFit="1" customWidth="1"/>
    <col min="18" max="18" width="8.375" style="9" hidden="1" customWidth="1"/>
    <col min="19" max="19" width="4.25" style="9" hidden="1" customWidth="1"/>
    <col min="20" max="20" width="13.125" style="7" hidden="1" customWidth="1"/>
    <col min="21" max="21" width="13.625" style="7" hidden="1" customWidth="1"/>
    <col min="22" max="22" width="8.375" style="10" hidden="1" customWidth="1"/>
    <col min="23" max="23" width="6.625" style="11" hidden="1" customWidth="1"/>
    <col min="24" max="24" width="4.75" style="12" customWidth="1"/>
    <col min="25" max="25" width="9.25" style="6" customWidth="1"/>
    <col min="26" max="26" width="11.5" style="13" customWidth="1"/>
    <col min="27" max="27" width="7" style="14" customWidth="1"/>
    <col min="28" max="28" width="7.125" style="15" customWidth="1"/>
    <col min="29" max="238" width="1.875" style="108" customWidth="1"/>
    <col min="239" max="16384" width="10" style="108"/>
  </cols>
  <sheetData>
    <row r="1" spans="1:238" s="149" customFormat="1" ht="20.100000000000001" customHeight="1">
      <c r="A1" s="133"/>
      <c r="B1" s="143"/>
      <c r="C1" s="134"/>
      <c r="D1" s="135" t="str">
        <f ca="1">xlgantt.ProjectName()</f>
        <v>Valet Parker</v>
      </c>
      <c r="E1" s="136"/>
      <c r="F1" s="136"/>
      <c r="G1" s="136"/>
      <c r="H1" s="136"/>
      <c r="I1" s="136"/>
      <c r="J1" s="136"/>
      <c r="K1" s="136"/>
      <c r="L1" s="136"/>
      <c r="M1" s="136"/>
      <c r="N1" s="137"/>
      <c r="O1" s="138"/>
      <c r="P1" s="139"/>
      <c r="Q1" s="140"/>
      <c r="R1" s="141"/>
      <c r="S1" s="141"/>
      <c r="T1" s="142"/>
      <c r="U1" s="142"/>
      <c r="V1" s="143"/>
      <c r="W1" s="144"/>
      <c r="X1" s="145"/>
      <c r="Y1" s="146"/>
      <c r="Z1" s="146"/>
      <c r="AA1" s="147"/>
      <c r="AB1" s="148" t="str">
        <f ca="1">xlgantt.ProjectProgressString()</f>
        <v>2019-02-14~2019-09-01 [계획:4.31% 실적:0.00%]</v>
      </c>
      <c r="AC1" s="208" t="s">
        <v>1101</v>
      </c>
      <c r="AD1" s="208"/>
      <c r="AE1" s="208"/>
      <c r="AF1" s="208"/>
      <c r="AG1" s="208"/>
      <c r="AH1" s="208"/>
      <c r="AI1" s="208"/>
      <c r="AJ1" s="208"/>
      <c r="AK1" s="208"/>
      <c r="AL1" s="208"/>
      <c r="AM1" s="208"/>
      <c r="AN1" s="208"/>
      <c r="AO1" s="208"/>
      <c r="AP1" s="208"/>
      <c r="AQ1" s="208"/>
      <c r="AR1" s="208"/>
      <c r="AS1" s="208"/>
      <c r="AT1" s="208"/>
      <c r="AU1" s="208"/>
      <c r="AV1" s="208"/>
      <c r="AW1" s="208"/>
      <c r="AX1" s="208"/>
      <c r="AY1" s="208"/>
      <c r="AZ1" s="208"/>
      <c r="BA1" s="208"/>
      <c r="BB1" s="208"/>
      <c r="BC1" s="208"/>
      <c r="BD1" s="208"/>
      <c r="BE1" s="208"/>
      <c r="BF1" s="208"/>
      <c r="BG1" s="208"/>
      <c r="BH1" s="208"/>
      <c r="BI1" s="208"/>
      <c r="BJ1" s="208"/>
      <c r="BK1" s="208"/>
      <c r="BL1" s="208"/>
      <c r="BM1" s="208"/>
      <c r="BN1" s="208"/>
      <c r="BO1" s="208"/>
      <c r="BP1" s="208"/>
      <c r="BQ1" s="208"/>
      <c r="BR1" s="208"/>
      <c r="BS1" s="208"/>
      <c r="BT1" s="208"/>
      <c r="BU1" s="208"/>
      <c r="BV1" s="208"/>
      <c r="BW1" s="208"/>
      <c r="BX1" s="208"/>
      <c r="BY1" s="208"/>
      <c r="BZ1" s="208"/>
      <c r="CA1" s="208"/>
    </row>
    <row r="2" spans="1:238" s="149" customFormat="1" ht="15" customHeight="1">
      <c r="A2" s="150"/>
      <c r="B2" s="150"/>
      <c r="C2" s="151"/>
      <c r="D2" s="219"/>
      <c r="E2" s="219"/>
      <c r="F2" s="219"/>
      <c r="G2" s="152"/>
      <c r="H2" s="153"/>
      <c r="I2" s="152"/>
      <c r="J2" s="152"/>
      <c r="K2" s="152"/>
      <c r="L2" s="152"/>
      <c r="M2" s="152"/>
      <c r="N2" s="152"/>
      <c r="O2" s="152"/>
      <c r="P2" s="152"/>
      <c r="Q2" s="152"/>
      <c r="R2" s="152"/>
      <c r="S2" s="152"/>
      <c r="T2" s="152"/>
      <c r="U2" s="152"/>
      <c r="V2" s="152"/>
      <c r="W2" s="152"/>
      <c r="X2" s="152"/>
      <c r="Y2" s="152"/>
      <c r="Z2" s="154"/>
      <c r="AA2" s="155"/>
      <c r="AB2" s="152" t="str">
        <f ca="1">xlgantt.CommentOnHeadArea()</f>
        <v>별(*)표시는 필수입력, 주황색열은 자동계산</v>
      </c>
      <c r="AC2" s="156" t="s">
        <v>1102</v>
      </c>
    </row>
    <row r="3" spans="1:238" s="1" customFormat="1" ht="20.100000000000001" customHeight="1">
      <c r="A3" s="210" t="s">
        <v>1060</v>
      </c>
      <c r="B3" s="212" t="s">
        <v>1061</v>
      </c>
      <c r="C3" s="214" t="s">
        <v>1033</v>
      </c>
      <c r="D3" s="215" t="s">
        <v>1046</v>
      </c>
      <c r="E3" s="216" t="s">
        <v>1047</v>
      </c>
      <c r="F3" s="217"/>
      <c r="G3" s="217"/>
      <c r="H3" s="217"/>
      <c r="I3" s="217"/>
      <c r="J3" s="217"/>
      <c r="K3" s="218"/>
      <c r="L3" s="220" t="s">
        <v>1040</v>
      </c>
      <c r="M3" s="221" t="s">
        <v>1041</v>
      </c>
      <c r="N3" s="220" t="s">
        <v>1048</v>
      </c>
      <c r="O3" s="212" t="s">
        <v>1042</v>
      </c>
      <c r="P3" s="222" t="s">
        <v>1027</v>
      </c>
      <c r="Q3" s="222" t="s">
        <v>1065</v>
      </c>
      <c r="R3" s="222" t="s">
        <v>1034</v>
      </c>
      <c r="S3" s="222" t="s">
        <v>1043</v>
      </c>
      <c r="T3" s="224" t="s">
        <v>1049</v>
      </c>
      <c r="U3" s="224" t="s">
        <v>1044</v>
      </c>
      <c r="V3" s="225" t="s">
        <v>1050</v>
      </c>
      <c r="W3" s="226" t="s">
        <v>1051</v>
      </c>
      <c r="X3" s="227" t="s">
        <v>1028</v>
      </c>
      <c r="Y3" s="220" t="s">
        <v>1013</v>
      </c>
      <c r="Z3" s="212" t="s">
        <v>1062</v>
      </c>
      <c r="AA3" s="228" t="s">
        <v>1066</v>
      </c>
      <c r="AB3" s="223" t="s">
        <v>1035</v>
      </c>
      <c r="AC3" s="206">
        <v>43506</v>
      </c>
      <c r="AD3" s="207"/>
      <c r="AE3" s="207"/>
      <c r="AF3" s="207"/>
      <c r="AG3" s="207">
        <v>43534</v>
      </c>
      <c r="AH3" s="207"/>
      <c r="AI3" s="207"/>
      <c r="AJ3" s="207"/>
      <c r="AK3" s="207">
        <v>43562</v>
      </c>
      <c r="AL3" s="207"/>
      <c r="AM3" s="207"/>
      <c r="AN3" s="207"/>
      <c r="AO3" s="207">
        <v>43590</v>
      </c>
      <c r="AP3" s="207"/>
      <c r="AQ3" s="207"/>
      <c r="AR3" s="207"/>
      <c r="AS3" s="207">
        <v>43618</v>
      </c>
      <c r="AT3" s="207"/>
      <c r="AU3" s="207"/>
      <c r="AV3" s="207"/>
      <c r="AW3" s="207">
        <v>43646</v>
      </c>
      <c r="AX3" s="207"/>
      <c r="AY3" s="207"/>
      <c r="AZ3" s="207"/>
      <c r="BA3" s="207">
        <v>43674</v>
      </c>
      <c r="BB3" s="207"/>
      <c r="BC3" s="207"/>
      <c r="BD3" s="207"/>
      <c r="BE3" s="207">
        <v>43702</v>
      </c>
      <c r="BF3" s="207"/>
      <c r="BG3" s="207"/>
      <c r="BH3" s="209"/>
    </row>
    <row r="4" spans="1:238" s="2" customFormat="1" ht="5.0999999999999996" customHeight="1">
      <c r="A4" s="211"/>
      <c r="B4" s="213"/>
      <c r="C4" s="210"/>
      <c r="D4" s="215"/>
      <c r="E4" s="216"/>
      <c r="F4" s="217"/>
      <c r="G4" s="217"/>
      <c r="H4" s="217"/>
      <c r="I4" s="217"/>
      <c r="J4" s="217"/>
      <c r="K4" s="218"/>
      <c r="L4" s="220"/>
      <c r="M4" s="220"/>
      <c r="N4" s="220"/>
      <c r="O4" s="212"/>
      <c r="P4" s="222"/>
      <c r="Q4" s="222"/>
      <c r="R4" s="222"/>
      <c r="S4" s="222"/>
      <c r="T4" s="220"/>
      <c r="U4" s="220"/>
      <c r="V4" s="225"/>
      <c r="W4" s="226"/>
      <c r="X4" s="227"/>
      <c r="Y4" s="220"/>
      <c r="Z4" s="212"/>
      <c r="AA4" s="228"/>
      <c r="AB4" s="223"/>
      <c r="AC4" s="106">
        <v>43506</v>
      </c>
      <c r="AD4" s="107">
        <v>43513</v>
      </c>
      <c r="AE4" s="107">
        <v>43520</v>
      </c>
      <c r="AF4" s="107">
        <v>43527</v>
      </c>
      <c r="AG4" s="107">
        <v>43534</v>
      </c>
      <c r="AH4" s="107">
        <v>43541</v>
      </c>
      <c r="AI4" s="107">
        <v>43548</v>
      </c>
      <c r="AJ4" s="107">
        <v>43555</v>
      </c>
      <c r="AK4" s="107">
        <v>43562</v>
      </c>
      <c r="AL4" s="107">
        <v>43569</v>
      </c>
      <c r="AM4" s="107">
        <v>43576</v>
      </c>
      <c r="AN4" s="107">
        <v>43583</v>
      </c>
      <c r="AO4" s="107">
        <v>43590</v>
      </c>
      <c r="AP4" s="107">
        <v>43597</v>
      </c>
      <c r="AQ4" s="107">
        <v>43604</v>
      </c>
      <c r="AR4" s="107">
        <v>43611</v>
      </c>
      <c r="AS4" s="107">
        <v>43618</v>
      </c>
      <c r="AT4" s="107">
        <v>43625</v>
      </c>
      <c r="AU4" s="107">
        <v>43632</v>
      </c>
      <c r="AV4" s="107">
        <v>43639</v>
      </c>
      <c r="AW4" s="107">
        <v>43646</v>
      </c>
      <c r="AX4" s="107">
        <v>43653</v>
      </c>
      <c r="AY4" s="107">
        <v>43660</v>
      </c>
      <c r="AZ4" s="107">
        <v>43667</v>
      </c>
      <c r="BA4" s="107">
        <v>43674</v>
      </c>
      <c r="BB4" s="107">
        <v>43681</v>
      </c>
      <c r="BC4" s="107">
        <v>43688</v>
      </c>
      <c r="BD4" s="107">
        <v>43695</v>
      </c>
      <c r="BE4" s="107">
        <v>43702</v>
      </c>
      <c r="BF4" s="107">
        <v>43709</v>
      </c>
      <c r="BG4" s="107"/>
      <c r="BH4" s="109"/>
      <c r="BI4" s="114"/>
      <c r="BJ4" s="115"/>
      <c r="BK4" s="115"/>
      <c r="BL4" s="115"/>
      <c r="BM4" s="115"/>
      <c r="BN4" s="115"/>
      <c r="BO4" s="115"/>
      <c r="BP4" s="115"/>
      <c r="BQ4" s="115"/>
      <c r="BR4" s="115"/>
      <c r="BS4" s="115"/>
      <c r="BT4" s="115"/>
      <c r="BU4" s="115"/>
      <c r="BV4" s="115"/>
      <c r="BW4" s="115"/>
      <c r="BX4" s="115"/>
      <c r="BY4" s="115"/>
      <c r="BZ4" s="115"/>
      <c r="CA4" s="115"/>
      <c r="CB4" s="115"/>
      <c r="CC4" s="115"/>
      <c r="CD4" s="115"/>
      <c r="CE4" s="115"/>
      <c r="CF4" s="115"/>
      <c r="CG4" s="115"/>
      <c r="CH4" s="115"/>
      <c r="CI4" s="115"/>
      <c r="CJ4" s="115"/>
      <c r="CK4" s="115"/>
      <c r="CL4" s="115"/>
      <c r="CM4" s="115"/>
      <c r="CN4" s="115"/>
      <c r="CO4" s="115"/>
      <c r="CP4" s="115"/>
      <c r="CQ4" s="115"/>
      <c r="CR4" s="115"/>
      <c r="CS4" s="115"/>
      <c r="CT4" s="115"/>
      <c r="CU4" s="115"/>
      <c r="CV4" s="115"/>
      <c r="CW4" s="115"/>
      <c r="CX4" s="115"/>
      <c r="CY4" s="115"/>
      <c r="CZ4" s="115"/>
      <c r="DA4" s="115"/>
      <c r="DB4" s="115"/>
      <c r="DC4" s="115"/>
      <c r="DD4" s="115"/>
      <c r="DE4" s="115"/>
      <c r="DF4" s="115"/>
      <c r="DG4" s="115"/>
      <c r="DH4" s="115"/>
      <c r="DI4" s="115"/>
      <c r="DJ4" s="115"/>
      <c r="DK4" s="115"/>
      <c r="DL4" s="115"/>
      <c r="DM4" s="115"/>
      <c r="DN4" s="115"/>
      <c r="DO4" s="115"/>
      <c r="DP4" s="115"/>
      <c r="DQ4" s="115"/>
      <c r="DR4" s="115"/>
      <c r="DS4" s="115"/>
      <c r="DT4" s="115"/>
      <c r="DU4" s="115"/>
      <c r="DV4" s="115"/>
      <c r="DW4" s="115"/>
      <c r="DX4" s="115"/>
      <c r="DY4" s="115"/>
      <c r="DZ4" s="115"/>
      <c r="EA4" s="115"/>
      <c r="EB4" s="115"/>
      <c r="EC4" s="115"/>
      <c r="ED4" s="115"/>
      <c r="EE4" s="115"/>
      <c r="EF4" s="115"/>
      <c r="EG4" s="115"/>
      <c r="EH4" s="115"/>
      <c r="EI4" s="115"/>
      <c r="EJ4" s="115"/>
      <c r="EK4" s="115"/>
      <c r="EL4" s="115"/>
      <c r="EM4" s="115"/>
      <c r="EN4" s="115"/>
      <c r="EO4" s="115"/>
      <c r="EP4" s="115"/>
      <c r="EQ4" s="115"/>
      <c r="ER4" s="115"/>
      <c r="ES4" s="115"/>
      <c r="ET4" s="115"/>
      <c r="EU4" s="115"/>
      <c r="EV4" s="115"/>
      <c r="EW4" s="115"/>
      <c r="EX4" s="115"/>
      <c r="EY4" s="115"/>
      <c r="EZ4" s="115"/>
      <c r="FA4" s="115"/>
      <c r="FB4" s="115"/>
      <c r="FC4" s="115"/>
      <c r="FD4" s="115"/>
      <c r="FE4" s="115"/>
      <c r="FF4" s="115"/>
      <c r="FG4" s="115"/>
      <c r="FH4" s="115"/>
      <c r="FI4" s="115"/>
      <c r="FJ4" s="115"/>
      <c r="FK4" s="115"/>
      <c r="FL4" s="115"/>
      <c r="FM4" s="115"/>
      <c r="FN4" s="115"/>
      <c r="FO4" s="115"/>
      <c r="FP4" s="115"/>
      <c r="FQ4" s="115"/>
      <c r="FR4" s="115"/>
      <c r="FS4" s="115"/>
      <c r="FT4" s="115"/>
      <c r="FU4" s="115"/>
      <c r="FV4" s="115"/>
      <c r="FW4" s="115"/>
      <c r="FX4" s="115"/>
      <c r="FY4" s="115"/>
      <c r="FZ4" s="115"/>
      <c r="GA4" s="115"/>
      <c r="GB4" s="115"/>
      <c r="GC4" s="115"/>
      <c r="GD4" s="115"/>
      <c r="GE4" s="115"/>
      <c r="GF4" s="115"/>
      <c r="GG4" s="115"/>
      <c r="GH4" s="115"/>
      <c r="GI4" s="115"/>
      <c r="GJ4" s="115"/>
      <c r="GK4" s="115"/>
      <c r="GL4" s="115"/>
      <c r="GM4" s="115"/>
      <c r="GN4" s="115"/>
      <c r="GO4" s="115"/>
      <c r="GP4" s="115"/>
      <c r="GQ4" s="115"/>
      <c r="GR4" s="115"/>
      <c r="GS4" s="115"/>
      <c r="GT4" s="115"/>
      <c r="GU4" s="115"/>
      <c r="GV4" s="115"/>
      <c r="GW4" s="115"/>
      <c r="GX4" s="115"/>
      <c r="GY4" s="115"/>
      <c r="GZ4" s="115"/>
      <c r="HA4" s="115"/>
      <c r="HB4" s="115"/>
      <c r="HC4" s="115"/>
      <c r="HD4" s="115"/>
      <c r="HE4" s="115"/>
      <c r="HF4" s="115"/>
      <c r="HG4" s="115"/>
      <c r="HH4" s="115"/>
      <c r="HI4" s="115"/>
      <c r="HJ4" s="115"/>
      <c r="HK4" s="115"/>
      <c r="HL4" s="115"/>
      <c r="HM4" s="115"/>
      <c r="HN4" s="115"/>
      <c r="HO4" s="115"/>
      <c r="HP4" s="115"/>
      <c r="HQ4" s="115"/>
      <c r="HR4" s="115"/>
      <c r="HS4" s="115"/>
      <c r="HT4" s="115"/>
      <c r="HU4" s="115"/>
      <c r="HV4" s="115"/>
      <c r="HW4" s="115"/>
      <c r="HX4" s="115"/>
      <c r="HY4" s="115"/>
      <c r="HZ4" s="115"/>
      <c r="IA4" s="115"/>
      <c r="IB4" s="115"/>
      <c r="IC4" s="115"/>
      <c r="ID4" s="115"/>
    </row>
    <row r="5" spans="1:238">
      <c r="A5" s="110"/>
      <c r="B5" s="110" t="s">
        <v>988</v>
      </c>
      <c r="C5" s="110">
        <v>1</v>
      </c>
      <c r="D5" s="3" t="s">
        <v>989</v>
      </c>
      <c r="E5" s="174" t="s">
        <v>518</v>
      </c>
      <c r="F5" s="174"/>
      <c r="G5" s="174"/>
      <c r="H5" s="174"/>
      <c r="I5" s="174"/>
      <c r="J5" s="174"/>
      <c r="K5" s="174"/>
      <c r="L5" s="174"/>
      <c r="M5" s="175">
        <v>43525</v>
      </c>
      <c r="N5" s="175">
        <v>43708</v>
      </c>
      <c r="O5" s="174"/>
      <c r="P5" s="176">
        <v>464</v>
      </c>
      <c r="Q5" s="176">
        <v>20</v>
      </c>
      <c r="R5" s="177">
        <v>180</v>
      </c>
      <c r="S5" s="177">
        <v>10</v>
      </c>
      <c r="T5" s="175"/>
      <c r="U5" s="175"/>
      <c r="V5" s="178">
        <v>0</v>
      </c>
      <c r="W5" s="179">
        <v>0</v>
      </c>
      <c r="X5" s="180"/>
      <c r="Y5" s="174"/>
      <c r="Z5" s="181"/>
      <c r="AA5" s="94">
        <v>4.3103448275862072E-2</v>
      </c>
      <c r="AB5" s="182">
        <v>0</v>
      </c>
      <c r="AC5" s="116"/>
      <c r="AD5" s="4"/>
      <c r="AE5" s="4" t="str">
        <f>"     " &amp; TEXT(AB5,"#0.00%") &amp; "/" &amp; TEXT(AA5,"#0.00% ") &amp; ""</f>
        <v xml:space="preserve">     0.00%/4.31% </v>
      </c>
      <c r="AF5" s="4"/>
      <c r="AG5" s="4"/>
      <c r="AH5" s="4"/>
      <c r="AI5" s="4"/>
      <c r="AJ5" s="4"/>
      <c r="AK5" s="4"/>
      <c r="AL5" s="4"/>
      <c r="AM5" s="4"/>
      <c r="AN5" s="4"/>
      <c r="AO5" s="4"/>
      <c r="AP5" s="4"/>
      <c r="AQ5" s="4"/>
      <c r="AR5" s="4"/>
      <c r="AS5" s="4"/>
      <c r="AT5" s="4"/>
      <c r="AU5" s="4"/>
      <c r="AV5" s="4"/>
      <c r="AW5" s="4"/>
      <c r="AX5" s="4"/>
      <c r="AY5" s="4"/>
      <c r="AZ5" s="4"/>
      <c r="BA5" s="4"/>
      <c r="BB5" s="4"/>
      <c r="BC5" s="4"/>
      <c r="BD5" s="4"/>
      <c r="BE5" s="4"/>
      <c r="BF5" s="4" t="str">
        <f>"" &amp; "프로젝트 관리" &amp; " " &amp; IF(M5="","",TEXT(M5,"M/D-")) &amp; IF(N5="","",TEXT(N5,"M/D")) &amp; " "</f>
        <v xml:space="preserve">프로젝트 관리 3/1-8/31 </v>
      </c>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c r="ER5" s="4"/>
      <c r="ES5" s="4"/>
      <c r="ET5" s="4"/>
      <c r="EU5" s="4"/>
      <c r="EV5" s="4"/>
      <c r="EW5" s="4"/>
      <c r="EX5" s="4"/>
      <c r="EY5" s="4"/>
      <c r="EZ5" s="4"/>
      <c r="FA5" s="4"/>
      <c r="FB5" s="4"/>
      <c r="FC5" s="4"/>
      <c r="FD5" s="4"/>
      <c r="FE5" s="4"/>
      <c r="FF5" s="4"/>
      <c r="FG5" s="4"/>
      <c r="FH5" s="4"/>
      <c r="FI5" s="4"/>
      <c r="FJ5" s="4"/>
      <c r="FK5" s="4"/>
      <c r="FL5" s="4"/>
      <c r="FM5" s="4"/>
      <c r="FN5" s="4"/>
      <c r="FO5" s="4"/>
      <c r="FP5" s="4"/>
      <c r="FQ5" s="4"/>
      <c r="FR5" s="4"/>
      <c r="FS5" s="4"/>
      <c r="FT5" s="4"/>
      <c r="FU5" s="4"/>
      <c r="FV5" s="4"/>
      <c r="FW5" s="4"/>
      <c r="FX5" s="4"/>
      <c r="FY5" s="4"/>
      <c r="FZ5" s="4"/>
      <c r="GA5" s="4"/>
      <c r="GB5" s="4"/>
      <c r="GC5" s="4"/>
      <c r="GD5" s="4"/>
      <c r="GE5" s="4"/>
      <c r="GF5" s="4"/>
      <c r="GG5" s="4"/>
      <c r="GH5" s="4"/>
      <c r="GI5" s="4"/>
      <c r="GJ5" s="4"/>
      <c r="GK5" s="4"/>
      <c r="GL5" s="4"/>
      <c r="GM5" s="4"/>
      <c r="GN5" s="4"/>
      <c r="GO5" s="4"/>
      <c r="GP5" s="4"/>
      <c r="GQ5" s="4"/>
      <c r="GR5" s="4"/>
      <c r="GS5" s="4"/>
      <c r="GT5" s="4"/>
      <c r="GU5" s="4"/>
      <c r="GV5" s="4"/>
      <c r="GW5" s="4"/>
      <c r="GX5" s="4"/>
      <c r="GY5" s="4"/>
      <c r="GZ5" s="4"/>
      <c r="HA5" s="4"/>
      <c r="HB5" s="4"/>
      <c r="HC5" s="4"/>
      <c r="HD5" s="4"/>
      <c r="HE5" s="4"/>
      <c r="HF5" s="4"/>
      <c r="HG5" s="4"/>
      <c r="HH5" s="4"/>
      <c r="HI5" s="4"/>
      <c r="HJ5" s="4"/>
      <c r="HK5" s="4"/>
      <c r="HL5" s="4"/>
      <c r="HM5" s="4"/>
      <c r="HN5" s="4"/>
      <c r="HO5" s="4"/>
      <c r="HP5" s="4"/>
      <c r="HQ5" s="4"/>
      <c r="HR5" s="4"/>
      <c r="HS5" s="4"/>
      <c r="HT5" s="4"/>
      <c r="HU5" s="4"/>
      <c r="HV5" s="4"/>
      <c r="HW5" s="4"/>
      <c r="HX5" s="4"/>
      <c r="HY5" s="4"/>
      <c r="HZ5" s="4"/>
      <c r="IA5" s="4"/>
      <c r="IB5" s="4"/>
      <c r="IC5" s="4"/>
      <c r="ID5" s="4"/>
    </row>
    <row r="6" spans="1:238" ht="13.5" outlineLevel="1">
      <c r="A6" s="110"/>
      <c r="B6" s="110" t="s">
        <v>988</v>
      </c>
      <c r="C6" s="110">
        <v>2</v>
      </c>
      <c r="D6" s="3" t="s">
        <v>990</v>
      </c>
      <c r="E6" s="198"/>
      <c r="F6" s="174" t="s">
        <v>1067</v>
      </c>
      <c r="G6" s="174"/>
      <c r="H6" s="174"/>
      <c r="I6" s="174"/>
      <c r="J6" s="174"/>
      <c r="K6" s="174"/>
      <c r="L6" s="174"/>
      <c r="M6" s="175">
        <v>43525</v>
      </c>
      <c r="N6" s="175">
        <v>43708</v>
      </c>
      <c r="O6" s="174"/>
      <c r="P6" s="176">
        <v>180</v>
      </c>
      <c r="Q6" s="176">
        <v>10</v>
      </c>
      <c r="R6" s="177">
        <v>180</v>
      </c>
      <c r="S6" s="177">
        <v>10</v>
      </c>
      <c r="T6" s="175"/>
      <c r="U6" s="175"/>
      <c r="V6" s="178">
        <v>0</v>
      </c>
      <c r="W6" s="179">
        <v>0</v>
      </c>
      <c r="X6" s="180"/>
      <c r="Y6" s="198" t="s">
        <v>1092</v>
      </c>
      <c r="Z6" s="181"/>
      <c r="AA6" s="94">
        <v>5.5555555555555552E-2</v>
      </c>
      <c r="AB6" s="182">
        <v>0</v>
      </c>
      <c r="AC6" s="116"/>
      <c r="AD6" s="4"/>
      <c r="AE6" s="4" t="str">
        <f>"     " &amp; TEXT(AB6,"#0.00%") &amp; "/" &amp; TEXT(AA6,"#0.00% ") &amp; ""</f>
        <v xml:space="preserve">     0.00%/5.56% </v>
      </c>
      <c r="AF6" s="4"/>
      <c r="AG6" s="4"/>
      <c r="AH6" s="4"/>
      <c r="AI6" s="4"/>
      <c r="AJ6" s="4"/>
      <c r="AK6" s="4"/>
      <c r="AL6" s="4"/>
      <c r="AM6" s="4"/>
      <c r="AN6" s="4"/>
      <c r="AO6" s="4"/>
      <c r="AP6" s="4"/>
      <c r="AQ6" s="4"/>
      <c r="AR6" s="4"/>
      <c r="AS6" s="4"/>
      <c r="AT6" s="4"/>
      <c r="AU6" s="4"/>
      <c r="AV6" s="4"/>
      <c r="AW6" s="4"/>
      <c r="AX6" s="4"/>
      <c r="AY6" s="4"/>
      <c r="AZ6" s="4"/>
      <c r="BA6" s="4"/>
      <c r="BB6" s="4"/>
      <c r="BC6" s="4"/>
      <c r="BD6" s="4"/>
      <c r="BE6" s="4"/>
      <c r="BF6" s="4" t="str">
        <f>"" &amp; "강화학습 구현" &amp; "(이아현)" &amp; " " &amp; IF(M6="","",TEXT(M6,"M/D-")) &amp; IF(N6="","",TEXT(N6,"M/D")) &amp; " "</f>
        <v xml:space="preserve">강화학습 구현(이아현) 3/1-8/31 </v>
      </c>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c r="ER6" s="4"/>
      <c r="ES6" s="4"/>
      <c r="ET6" s="4"/>
      <c r="EU6" s="4"/>
      <c r="EV6" s="4"/>
      <c r="EW6" s="4"/>
      <c r="EX6" s="4"/>
      <c r="EY6" s="4"/>
      <c r="EZ6" s="4"/>
      <c r="FA6" s="4"/>
      <c r="FB6" s="4"/>
      <c r="FC6" s="4"/>
      <c r="FD6" s="4"/>
      <c r="FE6" s="4"/>
      <c r="FF6" s="4"/>
      <c r="FG6" s="4"/>
      <c r="FH6" s="4"/>
      <c r="FI6" s="4"/>
      <c r="FJ6" s="4"/>
      <c r="FK6" s="4"/>
      <c r="FL6" s="4"/>
      <c r="FM6" s="4"/>
      <c r="FN6" s="4"/>
      <c r="FO6" s="4"/>
      <c r="FP6" s="4"/>
      <c r="FQ6" s="4"/>
      <c r="FR6" s="4"/>
      <c r="FS6" s="4"/>
      <c r="FT6" s="4"/>
      <c r="FU6" s="4"/>
      <c r="FV6" s="4"/>
      <c r="FW6" s="4"/>
      <c r="FX6" s="4"/>
      <c r="FY6" s="4"/>
      <c r="FZ6" s="4"/>
      <c r="GA6" s="4"/>
      <c r="GB6" s="4"/>
      <c r="GC6" s="4"/>
      <c r="GD6" s="4"/>
      <c r="GE6" s="4"/>
      <c r="GF6" s="4"/>
      <c r="GG6" s="4"/>
      <c r="GH6" s="4"/>
      <c r="GI6" s="4"/>
      <c r="GJ6" s="4"/>
      <c r="GK6" s="4"/>
      <c r="GL6" s="4"/>
      <c r="GM6" s="4"/>
      <c r="GN6" s="4"/>
      <c r="GO6" s="4"/>
      <c r="GP6" s="4"/>
      <c r="GQ6" s="4"/>
      <c r="GR6" s="4"/>
      <c r="GS6" s="4"/>
      <c r="GT6" s="4"/>
      <c r="GU6" s="4"/>
      <c r="GV6" s="4"/>
      <c r="GW6" s="4"/>
      <c r="GX6" s="4"/>
      <c r="GY6" s="4"/>
      <c r="GZ6" s="4"/>
      <c r="HA6" s="4"/>
      <c r="HB6" s="4"/>
      <c r="HC6" s="4"/>
      <c r="HD6" s="4"/>
      <c r="HE6" s="4"/>
      <c r="HF6" s="4"/>
      <c r="HG6" s="4"/>
      <c r="HH6" s="4"/>
      <c r="HI6" s="4"/>
      <c r="HJ6" s="4"/>
      <c r="HK6" s="4"/>
      <c r="HL6" s="4"/>
      <c r="HM6" s="4"/>
      <c r="HN6" s="4"/>
      <c r="HO6" s="4"/>
      <c r="HP6" s="4"/>
      <c r="HQ6" s="4"/>
      <c r="HR6" s="4"/>
      <c r="HS6" s="4"/>
      <c r="HT6" s="4"/>
      <c r="HU6" s="4"/>
      <c r="HV6" s="4"/>
      <c r="HW6" s="4"/>
      <c r="HX6" s="4"/>
      <c r="HY6" s="4"/>
      <c r="HZ6" s="4"/>
      <c r="IA6" s="4"/>
      <c r="IB6" s="4"/>
      <c r="IC6" s="4"/>
      <c r="ID6" s="4"/>
    </row>
    <row r="7" spans="1:238" ht="13.5" outlineLevel="2">
      <c r="A7" s="110"/>
      <c r="B7" s="110"/>
      <c r="C7" s="110">
        <v>3</v>
      </c>
      <c r="D7" s="3" t="s">
        <v>968</v>
      </c>
      <c r="E7" s="198"/>
      <c r="F7" s="174"/>
      <c r="G7" s="198" t="s">
        <v>1071</v>
      </c>
      <c r="H7" s="174"/>
      <c r="I7" s="174"/>
      <c r="J7" s="174"/>
      <c r="K7" s="174"/>
      <c r="L7" s="174"/>
      <c r="M7" s="204">
        <v>43525</v>
      </c>
      <c r="N7" s="204">
        <v>43555</v>
      </c>
      <c r="O7" s="174"/>
      <c r="P7" s="176">
        <v>30</v>
      </c>
      <c r="Q7" s="176">
        <v>10</v>
      </c>
      <c r="R7" s="177">
        <v>30</v>
      </c>
      <c r="S7" s="177">
        <v>10</v>
      </c>
      <c r="T7" s="175"/>
      <c r="U7" s="175"/>
      <c r="V7" s="178"/>
      <c r="W7" s="179">
        <v>0</v>
      </c>
      <c r="X7" s="180">
        <v>1</v>
      </c>
      <c r="Y7" s="198" t="s">
        <v>1092</v>
      </c>
      <c r="Z7" s="181"/>
      <c r="AA7" s="94">
        <v>0.33333333333333331</v>
      </c>
      <c r="AB7" s="182">
        <v>0</v>
      </c>
      <c r="AC7" s="116"/>
      <c r="AD7" s="4"/>
      <c r="AE7" s="4" t="str">
        <f>"     " &amp; TEXT(AB7,"#0.00%") &amp; "/" &amp; TEXT(AA7,"#0.00% ") &amp; "" &amp; "학습및자료조사" &amp; "(이아현)" &amp; " " &amp; IF(M7="","",TEXT(M7,"M/D-")) &amp; IF(N7="","",TEXT(N7,"M/D")) &amp; " "</f>
        <v xml:space="preserve">     0.00%/33.33% 학습및자료조사(이아현) 3/1-3/31 </v>
      </c>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HP7" s="4"/>
      <c r="HQ7" s="4"/>
      <c r="HR7" s="4"/>
      <c r="HS7" s="4"/>
      <c r="HT7" s="4"/>
      <c r="HU7" s="4"/>
      <c r="HV7" s="4"/>
      <c r="HW7" s="4"/>
      <c r="HX7" s="4"/>
      <c r="HY7" s="4"/>
      <c r="HZ7" s="4"/>
      <c r="IA7" s="4"/>
      <c r="IB7" s="4"/>
      <c r="IC7" s="4"/>
      <c r="ID7" s="4"/>
    </row>
    <row r="8" spans="1:238" ht="13.5" outlineLevel="2">
      <c r="A8" s="110"/>
      <c r="B8" s="110"/>
      <c r="C8" s="110">
        <v>3</v>
      </c>
      <c r="D8" s="3" t="s">
        <v>991</v>
      </c>
      <c r="E8" s="198"/>
      <c r="F8" s="174"/>
      <c r="G8" s="205" t="s">
        <v>1072</v>
      </c>
      <c r="H8" s="174"/>
      <c r="I8" s="174"/>
      <c r="J8" s="174"/>
      <c r="K8" s="174"/>
      <c r="L8" s="174"/>
      <c r="M8" s="204">
        <v>43556</v>
      </c>
      <c r="N8" s="204">
        <v>43569</v>
      </c>
      <c r="O8" s="174"/>
      <c r="P8" s="176">
        <v>14</v>
      </c>
      <c r="Q8" s="176">
        <v>0</v>
      </c>
      <c r="R8" s="177">
        <v>14</v>
      </c>
      <c r="S8" s="177">
        <v>0</v>
      </c>
      <c r="T8" s="175"/>
      <c r="U8" s="175"/>
      <c r="V8" s="178"/>
      <c r="W8" s="179">
        <v>0</v>
      </c>
      <c r="X8" s="180">
        <v>1</v>
      </c>
      <c r="Y8" s="198" t="s">
        <v>1092</v>
      </c>
      <c r="Z8" s="181"/>
      <c r="AA8" s="94">
        <v>0</v>
      </c>
      <c r="AB8" s="182">
        <v>0</v>
      </c>
      <c r="AC8" s="116"/>
      <c r="AD8" s="4"/>
      <c r="AE8" s="4"/>
      <c r="AF8" s="4"/>
      <c r="AG8" s="4"/>
      <c r="AH8" s="4"/>
      <c r="AI8" s="4"/>
      <c r="AJ8" s="4" t="str">
        <f>" " &amp; TEXT(AB8,"#0.00%") &amp; "/" &amp; TEXT(AA8,"#0.00% ") &amp; "" &amp; "그래픽 결과물을 위한 강화학습 모델 개발 " &amp; "(이아현)" &amp; " " &amp; IF(M8="","",TEXT(M8,"M/D-")) &amp; IF(N8="","",TEXT(N8,"M/D")) &amp; " "</f>
        <v xml:space="preserve"> 0.00%/0.00% 그래픽 결과물을 위한 강화학습 모델 개발 (이아현) 4/1-4/14 </v>
      </c>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c r="FF8" s="4"/>
      <c r="FG8" s="4"/>
      <c r="FH8" s="4"/>
      <c r="FI8" s="4"/>
      <c r="FJ8" s="4"/>
      <c r="FK8" s="4"/>
      <c r="FL8" s="4"/>
      <c r="FM8" s="4"/>
      <c r="FN8" s="4"/>
      <c r="FO8" s="4"/>
      <c r="FP8" s="4"/>
      <c r="FQ8" s="4"/>
      <c r="FR8" s="4"/>
      <c r="FS8" s="4"/>
      <c r="FT8" s="4"/>
      <c r="FU8" s="4"/>
      <c r="FV8" s="4"/>
      <c r="FW8" s="4"/>
      <c r="FX8" s="4"/>
      <c r="FY8" s="4"/>
      <c r="FZ8" s="4"/>
      <c r="GA8" s="4"/>
      <c r="GB8" s="4"/>
      <c r="GC8" s="4"/>
      <c r="GD8" s="4"/>
      <c r="GE8" s="4"/>
      <c r="GF8" s="4"/>
      <c r="GG8" s="4"/>
      <c r="GH8" s="4"/>
      <c r="GI8" s="4"/>
      <c r="GJ8" s="4"/>
      <c r="GK8" s="4"/>
      <c r="GL8" s="4"/>
      <c r="GM8" s="4"/>
      <c r="GN8" s="4"/>
      <c r="GO8" s="4"/>
      <c r="GP8" s="4"/>
      <c r="GQ8" s="4"/>
      <c r="GR8" s="4"/>
      <c r="GS8" s="4"/>
      <c r="GT8" s="4"/>
      <c r="GU8" s="4"/>
      <c r="GV8" s="4"/>
      <c r="GW8" s="4"/>
      <c r="GX8" s="4"/>
      <c r="GY8" s="4"/>
      <c r="GZ8" s="4"/>
      <c r="HA8" s="4"/>
      <c r="HB8" s="4"/>
      <c r="HC8" s="4"/>
      <c r="HD8" s="4"/>
      <c r="HE8" s="4"/>
      <c r="HF8" s="4"/>
      <c r="HG8" s="4"/>
      <c r="HH8" s="4"/>
      <c r="HI8" s="4"/>
      <c r="HJ8" s="4"/>
      <c r="HK8" s="4"/>
      <c r="HL8" s="4"/>
      <c r="HM8" s="4"/>
      <c r="HN8" s="4"/>
      <c r="HO8" s="4"/>
      <c r="HP8" s="4"/>
      <c r="HQ8" s="4"/>
      <c r="HR8" s="4"/>
      <c r="HS8" s="4"/>
      <c r="HT8" s="4"/>
      <c r="HU8" s="4"/>
      <c r="HV8" s="4"/>
      <c r="HW8" s="4"/>
      <c r="HX8" s="4"/>
      <c r="HY8" s="4"/>
      <c r="HZ8" s="4"/>
      <c r="IA8" s="4"/>
      <c r="IB8" s="4"/>
      <c r="IC8" s="4"/>
      <c r="ID8" s="4"/>
    </row>
    <row r="9" spans="1:238" ht="13.5" outlineLevel="2">
      <c r="A9" s="110"/>
      <c r="B9" s="110"/>
      <c r="C9" s="110">
        <v>3</v>
      </c>
      <c r="D9" s="3" t="s">
        <v>1084</v>
      </c>
      <c r="E9" s="198"/>
      <c r="F9" s="174"/>
      <c r="G9" s="205" t="s">
        <v>1073</v>
      </c>
      <c r="H9" s="174"/>
      <c r="I9" s="174"/>
      <c r="J9" s="174"/>
      <c r="K9" s="174"/>
      <c r="L9" s="174"/>
      <c r="M9" s="204">
        <v>43570</v>
      </c>
      <c r="N9" s="204">
        <v>43590</v>
      </c>
      <c r="O9" s="174"/>
      <c r="P9" s="176">
        <v>21</v>
      </c>
      <c r="Q9" s="176">
        <v>0</v>
      </c>
      <c r="R9" s="177">
        <v>21</v>
      </c>
      <c r="S9" s="177">
        <v>0</v>
      </c>
      <c r="T9" s="175"/>
      <c r="U9" s="175"/>
      <c r="V9" s="178"/>
      <c r="W9" s="179">
        <v>0</v>
      </c>
      <c r="X9" s="180">
        <v>1</v>
      </c>
      <c r="Y9" s="198" t="s">
        <v>1092</v>
      </c>
      <c r="Z9" s="181"/>
      <c r="AA9" s="94">
        <v>0</v>
      </c>
      <c r="AB9" s="182">
        <v>0</v>
      </c>
      <c r="AC9" s="116"/>
      <c r="AD9" s="4"/>
      <c r="AE9" s="4"/>
      <c r="AF9" s="4"/>
      <c r="AG9" s="4"/>
      <c r="AH9" s="4"/>
      <c r="AI9" s="4"/>
      <c r="AJ9" s="4"/>
      <c r="AK9" s="4"/>
      <c r="AL9" s="4" t="str">
        <f>" " &amp; TEXT(AB9,"#0.00%") &amp; "/" &amp; TEXT(AA9,"#0.00% ") &amp; "" &amp; "학습 및 자료조사" &amp; "(이아현)" &amp; " " &amp; IF(M9="","",TEXT(M9,"M/D-")) &amp; IF(N9="","",TEXT(N9,"M/D")) &amp; " "</f>
        <v xml:space="preserve"> 0.00%/0.00% 학습 및 자료조사(이아현) 4/15-5/5 </v>
      </c>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c r="ER9" s="4"/>
      <c r="ES9" s="4"/>
      <c r="ET9" s="4"/>
      <c r="EU9" s="4"/>
      <c r="EV9" s="4"/>
      <c r="EW9" s="4"/>
      <c r="EX9" s="4"/>
      <c r="EY9" s="4"/>
      <c r="EZ9" s="4"/>
      <c r="FA9" s="4"/>
      <c r="FB9" s="4"/>
      <c r="FC9" s="4"/>
      <c r="FD9" s="4"/>
      <c r="FE9" s="4"/>
      <c r="FF9" s="4"/>
      <c r="FG9" s="4"/>
      <c r="FH9" s="4"/>
      <c r="FI9" s="4"/>
      <c r="FJ9" s="4"/>
      <c r="FK9" s="4"/>
      <c r="FL9" s="4"/>
      <c r="FM9" s="4"/>
      <c r="FN9" s="4"/>
      <c r="FO9" s="4"/>
      <c r="FP9" s="4"/>
      <c r="FQ9" s="4"/>
      <c r="FR9" s="4"/>
      <c r="FS9" s="4"/>
      <c r="FT9" s="4"/>
      <c r="FU9" s="4"/>
      <c r="FV9" s="4"/>
      <c r="FW9" s="4"/>
      <c r="FX9" s="4"/>
      <c r="FY9" s="4"/>
      <c r="FZ9" s="4"/>
      <c r="GA9" s="4"/>
      <c r="GB9" s="4"/>
      <c r="GC9" s="4"/>
      <c r="GD9" s="4"/>
      <c r="GE9" s="4"/>
      <c r="GF9" s="4"/>
      <c r="GG9" s="4"/>
      <c r="GH9" s="4"/>
      <c r="GI9" s="4"/>
      <c r="GJ9" s="4"/>
      <c r="GK9" s="4"/>
      <c r="GL9" s="4"/>
      <c r="GM9" s="4"/>
      <c r="GN9" s="4"/>
      <c r="GO9" s="4"/>
      <c r="GP9" s="4"/>
      <c r="GQ9" s="4"/>
      <c r="GR9" s="4"/>
      <c r="GS9" s="4"/>
      <c r="GT9" s="4"/>
      <c r="GU9" s="4"/>
      <c r="GV9" s="4"/>
      <c r="GW9" s="4"/>
      <c r="GX9" s="4"/>
      <c r="GY9" s="4"/>
      <c r="GZ9" s="4"/>
      <c r="HA9" s="4"/>
      <c r="HB9" s="4"/>
      <c r="HC9" s="4"/>
      <c r="HD9" s="4"/>
      <c r="HE9" s="4"/>
      <c r="HF9" s="4"/>
      <c r="HG9" s="4"/>
      <c r="HH9" s="4"/>
      <c r="HI9" s="4"/>
      <c r="HJ9" s="4"/>
      <c r="HK9" s="4"/>
      <c r="HL9" s="4"/>
      <c r="HM9" s="4"/>
      <c r="HN9" s="4"/>
      <c r="HO9" s="4"/>
      <c r="HP9" s="4"/>
      <c r="HQ9" s="4"/>
      <c r="HR9" s="4"/>
      <c r="HS9" s="4"/>
      <c r="HT9" s="4"/>
      <c r="HU9" s="4"/>
      <c r="HV9" s="4"/>
      <c r="HW9" s="4"/>
      <c r="HX9" s="4"/>
      <c r="HY9" s="4"/>
      <c r="HZ9" s="4"/>
      <c r="IA9" s="4"/>
      <c r="IB9" s="4"/>
      <c r="IC9" s="4"/>
      <c r="ID9" s="4"/>
    </row>
    <row r="10" spans="1:238" ht="13.5" outlineLevel="2">
      <c r="A10" s="110"/>
      <c r="B10" s="110"/>
      <c r="C10" s="110">
        <v>3</v>
      </c>
      <c r="D10" s="3" t="s">
        <v>1085</v>
      </c>
      <c r="E10" s="174"/>
      <c r="F10" s="174"/>
      <c r="G10" s="205" t="s">
        <v>1074</v>
      </c>
      <c r="H10" s="174"/>
      <c r="I10" s="174"/>
      <c r="J10" s="174"/>
      <c r="K10" s="174"/>
      <c r="L10" s="174"/>
      <c r="M10" s="204">
        <v>43591</v>
      </c>
      <c r="N10" s="204">
        <v>43677</v>
      </c>
      <c r="O10" s="174"/>
      <c r="P10" s="176">
        <v>85</v>
      </c>
      <c r="Q10" s="176">
        <v>0</v>
      </c>
      <c r="R10" s="177">
        <v>85</v>
      </c>
      <c r="S10" s="177">
        <v>0</v>
      </c>
      <c r="T10" s="175"/>
      <c r="U10" s="175"/>
      <c r="V10" s="178"/>
      <c r="W10" s="179">
        <v>0</v>
      </c>
      <c r="X10" s="180">
        <v>1</v>
      </c>
      <c r="Y10" s="198" t="s">
        <v>1092</v>
      </c>
      <c r="Z10" s="181"/>
      <c r="AA10" s="94">
        <v>0</v>
      </c>
      <c r="AB10" s="182">
        <v>0</v>
      </c>
      <c r="AC10" s="116"/>
      <c r="AD10" s="4"/>
      <c r="AE10" s="4"/>
      <c r="AF10" s="4"/>
      <c r="AG10" s="4"/>
      <c r="AH10" s="4"/>
      <c r="AI10" s="4"/>
      <c r="AJ10" s="4"/>
      <c r="AK10" s="4"/>
      <c r="AL10" s="4"/>
      <c r="AM10" s="4"/>
      <c r="AN10" s="4"/>
      <c r="AO10" s="4" t="str">
        <f>" " &amp; TEXT(AB10,"#0.00%") &amp; "/" &amp; TEXT(AA10,"#0.00% ") &amp; ""</f>
        <v xml:space="preserve"> 0.00%/0.00% </v>
      </c>
      <c r="AP10" s="4"/>
      <c r="AQ10" s="4"/>
      <c r="AR10" s="4"/>
      <c r="AS10" s="4"/>
      <c r="AT10" s="4"/>
      <c r="AU10" s="4"/>
      <c r="AV10" s="4"/>
      <c r="AW10" s="4"/>
      <c r="AX10" s="4"/>
      <c r="AY10" s="4"/>
      <c r="AZ10" s="4"/>
      <c r="BA10" s="4" t="str">
        <f>"    " &amp; "기존 모델을 Hardware에 적용할 수 있도록 수정 " &amp; "(이아현)" &amp; " " &amp; IF(M10="","",TEXT(M10,"M/D-")) &amp; IF(N10="","",TEXT(N10,"M/D")) &amp; " "</f>
        <v xml:space="preserve">    기존 모델을 Hardware에 적용할 수 있도록 수정 (이아현) 5/6-7/31 </v>
      </c>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c r="ER10" s="4"/>
      <c r="ES10" s="4"/>
      <c r="ET10" s="4"/>
      <c r="EU10" s="4"/>
      <c r="EV10" s="4"/>
      <c r="EW10" s="4"/>
      <c r="EX10" s="4"/>
      <c r="EY10" s="4"/>
      <c r="EZ10" s="4"/>
      <c r="FA10" s="4"/>
      <c r="FB10" s="4"/>
      <c r="FC10" s="4"/>
      <c r="FD10" s="4"/>
      <c r="FE10" s="4"/>
      <c r="FF10" s="4"/>
      <c r="FG10" s="4"/>
      <c r="FH10" s="4"/>
      <c r="FI10" s="4"/>
      <c r="FJ10" s="4"/>
      <c r="FK10" s="4"/>
      <c r="FL10" s="4"/>
      <c r="FM10" s="4"/>
      <c r="FN10" s="4"/>
      <c r="FO10" s="4"/>
      <c r="FP10" s="4"/>
      <c r="FQ10" s="4"/>
      <c r="FR10" s="4"/>
      <c r="FS10" s="4"/>
      <c r="FT10" s="4"/>
      <c r="FU10" s="4"/>
      <c r="FV10" s="4"/>
      <c r="FW10" s="4"/>
      <c r="FX10" s="4"/>
      <c r="FY10" s="4"/>
      <c r="FZ10" s="4"/>
      <c r="GA10" s="4"/>
      <c r="GB10" s="4"/>
      <c r="GC10" s="4"/>
      <c r="GD10" s="4"/>
      <c r="GE10" s="4"/>
      <c r="GF10" s="4"/>
      <c r="GG10" s="4"/>
      <c r="GH10" s="4"/>
      <c r="GI10" s="4"/>
      <c r="GJ10" s="4"/>
      <c r="GK10" s="4"/>
      <c r="GL10" s="4"/>
      <c r="GM10" s="4"/>
      <c r="GN10" s="4"/>
      <c r="GO10" s="4"/>
      <c r="GP10" s="4"/>
      <c r="GQ10" s="4"/>
      <c r="GR10" s="4"/>
      <c r="GS10" s="4"/>
      <c r="GT10" s="4"/>
      <c r="GU10" s="4"/>
      <c r="GV10" s="4"/>
      <c r="GW10" s="4"/>
      <c r="GX10" s="4"/>
      <c r="GY10" s="4"/>
      <c r="GZ10" s="4"/>
      <c r="HA10" s="4"/>
      <c r="HB10" s="4"/>
      <c r="HC10" s="4"/>
      <c r="HD10" s="4"/>
      <c r="HE10" s="4"/>
      <c r="HF10" s="4"/>
      <c r="HG10" s="4"/>
      <c r="HH10" s="4"/>
      <c r="HI10" s="4"/>
      <c r="HJ10" s="4"/>
      <c r="HK10" s="4"/>
      <c r="HL10" s="4"/>
      <c r="HM10" s="4"/>
      <c r="HN10" s="4"/>
      <c r="HO10" s="4"/>
      <c r="HP10" s="4"/>
      <c r="HQ10" s="4"/>
      <c r="HR10" s="4"/>
      <c r="HS10" s="4"/>
      <c r="HT10" s="4"/>
      <c r="HU10" s="4"/>
      <c r="HV10" s="4"/>
      <c r="HW10" s="4"/>
      <c r="HX10" s="4"/>
      <c r="HY10" s="4"/>
      <c r="HZ10" s="4"/>
      <c r="IA10" s="4"/>
      <c r="IB10" s="4"/>
      <c r="IC10" s="4"/>
      <c r="ID10" s="4"/>
    </row>
    <row r="11" spans="1:238" ht="13.5" outlineLevel="2">
      <c r="A11" s="110"/>
      <c r="B11" s="110"/>
      <c r="C11" s="110">
        <v>3</v>
      </c>
      <c r="D11" s="3" t="s">
        <v>1086</v>
      </c>
      <c r="E11" s="174"/>
      <c r="F11" s="174"/>
      <c r="G11" s="205" t="s">
        <v>1075</v>
      </c>
      <c r="H11" s="174"/>
      <c r="I11" s="174"/>
      <c r="J11" s="174"/>
      <c r="K11" s="174"/>
      <c r="L11" s="174"/>
      <c r="M11" s="204">
        <v>43678</v>
      </c>
      <c r="N11" s="204">
        <v>43708</v>
      </c>
      <c r="O11" s="174"/>
      <c r="P11" s="176">
        <v>30</v>
      </c>
      <c r="Q11" s="176">
        <v>0</v>
      </c>
      <c r="R11" s="177">
        <v>30</v>
      </c>
      <c r="S11" s="177">
        <v>0</v>
      </c>
      <c r="T11" s="175"/>
      <c r="U11" s="175"/>
      <c r="V11" s="178"/>
      <c r="W11" s="179">
        <v>0</v>
      </c>
      <c r="X11" s="180">
        <v>1</v>
      </c>
      <c r="Y11" s="198" t="s">
        <v>1092</v>
      </c>
      <c r="Z11" s="181"/>
      <c r="AA11" s="94">
        <v>0</v>
      </c>
      <c r="AB11" s="182">
        <v>0</v>
      </c>
      <c r="AC11" s="116"/>
      <c r="AD11" s="4"/>
      <c r="AE11" s="4"/>
      <c r="AF11" s="4"/>
      <c r="AG11" s="4"/>
      <c r="AH11" s="4"/>
      <c r="AI11" s="4"/>
      <c r="AJ11" s="4"/>
      <c r="AK11" s="4"/>
      <c r="AL11" s="4"/>
      <c r="AM11" s="4"/>
      <c r="AN11" s="4"/>
      <c r="AO11" s="4"/>
      <c r="AP11" s="4"/>
      <c r="AQ11" s="4"/>
      <c r="AR11" s="4"/>
      <c r="AS11" s="4"/>
      <c r="AT11" s="4"/>
      <c r="AU11" s="4"/>
      <c r="AV11" s="4"/>
      <c r="AW11" s="4"/>
      <c r="AX11" s="4"/>
      <c r="AY11" s="4"/>
      <c r="AZ11" s="4"/>
      <c r="BA11" s="4" t="str">
        <f>"    " &amp; TEXT(AB11,"#0.00%") &amp; "/" &amp; TEXT(AA11,"#0.00% ") &amp; "" &amp; "최종 결과 보고서 작성" &amp; "(이아현)" &amp; " " &amp; IF(M11="","",TEXT(M11,"M/D-")) &amp; IF(N11="","",TEXT(N11,"M/D")) &amp; " "</f>
        <v xml:space="preserve">    0.00%/0.00% 최종 결과 보고서 작성(이아현) 8/1-8/31 </v>
      </c>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c r="FF11" s="4"/>
      <c r="FG11" s="4"/>
      <c r="FH11" s="4"/>
      <c r="FI11" s="4"/>
      <c r="FJ11" s="4"/>
      <c r="FK11" s="4"/>
      <c r="FL11" s="4"/>
      <c r="FM11" s="4"/>
      <c r="FN11" s="4"/>
      <c r="FO11" s="4"/>
      <c r="FP11" s="4"/>
      <c r="FQ11" s="4"/>
      <c r="FR11" s="4"/>
      <c r="FS11" s="4"/>
      <c r="FT11" s="4"/>
      <c r="FU11" s="4"/>
      <c r="FV11" s="4"/>
      <c r="FW11" s="4"/>
      <c r="FX11" s="4"/>
      <c r="FY11" s="4"/>
      <c r="FZ11" s="4"/>
      <c r="GA11" s="4"/>
      <c r="GB11" s="4"/>
      <c r="GC11" s="4"/>
      <c r="GD11" s="4"/>
      <c r="GE11" s="4"/>
      <c r="GF11" s="4"/>
      <c r="GG11" s="4"/>
      <c r="GH11" s="4"/>
      <c r="GI11" s="4"/>
      <c r="GJ11" s="4"/>
      <c r="GK11" s="4"/>
      <c r="GL11" s="4"/>
      <c r="GM11" s="4"/>
      <c r="GN11" s="4"/>
      <c r="GO11" s="4"/>
      <c r="GP11" s="4"/>
      <c r="GQ11" s="4"/>
      <c r="GR11" s="4"/>
      <c r="GS11" s="4"/>
      <c r="GT11" s="4"/>
      <c r="GU11" s="4"/>
      <c r="GV11" s="4"/>
      <c r="GW11" s="4"/>
      <c r="GX11" s="4"/>
      <c r="GY11" s="4"/>
      <c r="GZ11" s="4"/>
      <c r="HA11" s="4"/>
      <c r="HB11" s="4"/>
      <c r="HC11" s="4"/>
      <c r="HD11" s="4"/>
      <c r="HE11" s="4"/>
      <c r="HF11" s="4"/>
      <c r="HG11" s="4"/>
      <c r="HH11" s="4"/>
      <c r="HI11" s="4"/>
      <c r="HJ11" s="4"/>
      <c r="HK11" s="4"/>
      <c r="HL11" s="4"/>
      <c r="HM11" s="4"/>
      <c r="HN11" s="4"/>
      <c r="HO11" s="4"/>
      <c r="HP11" s="4"/>
      <c r="HQ11" s="4"/>
      <c r="HR11" s="4"/>
      <c r="HS11" s="4"/>
      <c r="HT11" s="4"/>
      <c r="HU11" s="4"/>
      <c r="HV11" s="4"/>
      <c r="HW11" s="4"/>
      <c r="HX11" s="4"/>
      <c r="HY11" s="4"/>
      <c r="HZ11" s="4"/>
      <c r="IA11" s="4"/>
      <c r="IB11" s="4"/>
      <c r="IC11" s="4"/>
      <c r="ID11" s="4"/>
    </row>
    <row r="12" spans="1:238" outlineLevel="2">
      <c r="A12" s="110"/>
      <c r="B12" s="110"/>
      <c r="C12" s="110">
        <v>0</v>
      </c>
      <c r="D12" s="3"/>
      <c r="E12" s="174"/>
      <c r="F12" s="174"/>
      <c r="G12" s="174"/>
      <c r="H12" s="174"/>
      <c r="I12" s="174"/>
      <c r="J12" s="174"/>
      <c r="K12" s="174"/>
      <c r="L12" s="174"/>
      <c r="M12" s="175"/>
      <c r="N12" s="175"/>
      <c r="O12" s="174"/>
      <c r="P12" s="176"/>
      <c r="Q12" s="176"/>
      <c r="R12" s="177">
        <v>0</v>
      </c>
      <c r="S12" s="177">
        <v>0</v>
      </c>
      <c r="T12" s="175"/>
      <c r="U12" s="175"/>
      <c r="V12" s="178"/>
      <c r="W12" s="179">
        <v>0</v>
      </c>
      <c r="X12" s="180"/>
      <c r="Y12" s="174"/>
      <c r="Z12" s="181"/>
      <c r="AA12" s="94"/>
      <c r="AB12" s="182"/>
      <c r="AC12" s="116"/>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4"/>
      <c r="FG12" s="4"/>
      <c r="FH12" s="4"/>
      <c r="FI12" s="4"/>
      <c r="FJ12" s="4"/>
      <c r="FK12" s="4"/>
      <c r="FL12" s="4"/>
      <c r="FM12" s="4"/>
      <c r="FN12" s="4"/>
      <c r="FO12" s="4"/>
      <c r="FP12" s="4"/>
      <c r="FQ12" s="4"/>
      <c r="FR12" s="4"/>
      <c r="FS12" s="4"/>
      <c r="FT12" s="4"/>
      <c r="FU12" s="4"/>
      <c r="FV12" s="4"/>
      <c r="FW12" s="4"/>
      <c r="FX12" s="4"/>
      <c r="FY12" s="4"/>
      <c r="FZ12" s="4"/>
      <c r="GA12" s="4"/>
      <c r="GB12" s="4"/>
      <c r="GC12" s="4"/>
      <c r="GD12" s="4"/>
      <c r="GE12" s="4"/>
      <c r="GF12" s="4"/>
      <c r="GG12" s="4"/>
      <c r="GH12" s="4"/>
      <c r="GI12" s="4"/>
      <c r="GJ12" s="4"/>
      <c r="GK12" s="4"/>
      <c r="GL12" s="4"/>
      <c r="GM12" s="4"/>
      <c r="GN12" s="4"/>
      <c r="GO12" s="4"/>
      <c r="GP12" s="4"/>
      <c r="GQ12" s="4"/>
      <c r="GR12" s="4"/>
      <c r="GS12" s="4"/>
      <c r="GT12" s="4"/>
      <c r="GU12" s="4"/>
      <c r="GV12" s="4"/>
      <c r="GW12" s="4"/>
      <c r="GX12" s="4"/>
      <c r="GY12" s="4"/>
      <c r="GZ12" s="4"/>
      <c r="HA12" s="4"/>
      <c r="HB12" s="4"/>
      <c r="HC12" s="4"/>
      <c r="HD12" s="4"/>
      <c r="HE12" s="4"/>
      <c r="HF12" s="4"/>
      <c r="HG12" s="4"/>
      <c r="HH12" s="4"/>
      <c r="HI12" s="4"/>
      <c r="HJ12" s="4"/>
      <c r="HK12" s="4"/>
      <c r="HL12" s="4"/>
      <c r="HM12" s="4"/>
      <c r="HN12" s="4"/>
      <c r="HO12" s="4"/>
      <c r="HP12" s="4"/>
      <c r="HQ12" s="4"/>
      <c r="HR12" s="4"/>
      <c r="HS12" s="4"/>
      <c r="HT12" s="4"/>
      <c r="HU12" s="4"/>
      <c r="HV12" s="4"/>
      <c r="HW12" s="4"/>
      <c r="HX12" s="4"/>
      <c r="HY12" s="4"/>
      <c r="HZ12" s="4"/>
      <c r="IA12" s="4"/>
      <c r="IB12" s="4"/>
      <c r="IC12" s="4"/>
      <c r="ID12" s="4"/>
    </row>
    <row r="13" spans="1:238" ht="13.5" outlineLevel="1">
      <c r="A13" s="110"/>
      <c r="B13" s="110" t="s">
        <v>988</v>
      </c>
      <c r="C13" s="110">
        <v>2</v>
      </c>
      <c r="D13" s="3" t="s">
        <v>992</v>
      </c>
      <c r="E13" s="174"/>
      <c r="F13" s="199" t="s">
        <v>1068</v>
      </c>
      <c r="G13" s="174"/>
      <c r="H13" s="174"/>
      <c r="I13" s="174"/>
      <c r="J13" s="174"/>
      <c r="K13" s="174"/>
      <c r="L13" s="174"/>
      <c r="M13" s="175">
        <v>43556</v>
      </c>
      <c r="N13" s="175">
        <v>43569</v>
      </c>
      <c r="O13" s="174"/>
      <c r="P13" s="176">
        <v>14</v>
      </c>
      <c r="Q13" s="176">
        <v>0</v>
      </c>
      <c r="R13" s="177">
        <v>14</v>
      </c>
      <c r="S13" s="177">
        <v>0</v>
      </c>
      <c r="T13" s="175"/>
      <c r="U13" s="175"/>
      <c r="V13" s="178">
        <v>0</v>
      </c>
      <c r="W13" s="179">
        <v>0</v>
      </c>
      <c r="X13" s="180"/>
      <c r="Y13" s="198" t="s">
        <v>1093</v>
      </c>
      <c r="Z13" s="181"/>
      <c r="AA13" s="94">
        <v>0</v>
      </c>
      <c r="AB13" s="182">
        <v>0</v>
      </c>
      <c r="AC13" s="116"/>
      <c r="AD13" s="4"/>
      <c r="AE13" s="4"/>
      <c r="AF13" s="4"/>
      <c r="AG13" s="4"/>
      <c r="AH13" s="4"/>
      <c r="AI13" s="4"/>
      <c r="AJ13" s="4" t="str">
        <f>" " &amp; TEXT(AB13,"#0.00%") &amp; "/" &amp; TEXT(AA13,"#0.00% ") &amp; "" &amp; "그래픽 구현" &amp; "(윤승혁)" &amp; " " &amp; IF(M13="","",TEXT(M13,"M/D-")) &amp; IF(N13="","",TEXT(N13,"M/D")) &amp; " "</f>
        <v xml:space="preserve"> 0.00%/0.00% 그래픽 구현(윤승혁) 4/1-4/14 </v>
      </c>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c r="ER13" s="4"/>
      <c r="ES13" s="4"/>
      <c r="ET13" s="4"/>
      <c r="EU13" s="4"/>
      <c r="EV13" s="4"/>
      <c r="EW13" s="4"/>
      <c r="EX13" s="4"/>
      <c r="EY13" s="4"/>
      <c r="EZ13" s="4"/>
      <c r="FA13" s="4"/>
      <c r="FB13" s="4"/>
      <c r="FC13" s="4"/>
      <c r="FD13" s="4"/>
      <c r="FE13" s="4"/>
      <c r="FF13" s="4"/>
      <c r="FG13" s="4"/>
      <c r="FH13" s="4"/>
      <c r="FI13" s="4"/>
      <c r="FJ13" s="4"/>
      <c r="FK13" s="4"/>
      <c r="FL13" s="4"/>
      <c r="FM13" s="4"/>
      <c r="FN13" s="4"/>
      <c r="FO13" s="4"/>
      <c r="FP13" s="4"/>
      <c r="FQ13" s="4"/>
      <c r="FR13" s="4"/>
      <c r="FS13" s="4"/>
      <c r="FT13" s="4"/>
      <c r="FU13" s="4"/>
      <c r="FV13" s="4"/>
      <c r="FW13" s="4"/>
      <c r="FX13" s="4"/>
      <c r="FY13" s="4"/>
      <c r="FZ13" s="4"/>
      <c r="GA13" s="4"/>
      <c r="GB13" s="4"/>
      <c r="GC13" s="4"/>
      <c r="GD13" s="4"/>
      <c r="GE13" s="4"/>
      <c r="GF13" s="4"/>
      <c r="GG13" s="4"/>
      <c r="GH13" s="4"/>
      <c r="GI13" s="4"/>
      <c r="GJ13" s="4"/>
      <c r="GK13" s="4"/>
      <c r="GL13" s="4"/>
      <c r="GM13" s="4"/>
      <c r="GN13" s="4"/>
      <c r="GO13" s="4"/>
      <c r="GP13" s="4"/>
      <c r="GQ13" s="4"/>
      <c r="GR13" s="4"/>
      <c r="GS13" s="4"/>
      <c r="GT13" s="4"/>
      <c r="GU13" s="4"/>
      <c r="GV13" s="4"/>
      <c r="GW13" s="4"/>
      <c r="GX13" s="4"/>
      <c r="GY13" s="4"/>
      <c r="GZ13" s="4"/>
      <c r="HA13" s="4"/>
      <c r="HB13" s="4"/>
      <c r="HC13" s="4"/>
      <c r="HD13" s="4"/>
      <c r="HE13" s="4"/>
      <c r="HF13" s="4"/>
      <c r="HG13" s="4"/>
      <c r="HH13" s="4"/>
      <c r="HI13" s="4"/>
      <c r="HJ13" s="4"/>
      <c r="HK13" s="4"/>
      <c r="HL13" s="4"/>
      <c r="HM13" s="4"/>
      <c r="HN13" s="4"/>
      <c r="HO13" s="4"/>
      <c r="HP13" s="4"/>
      <c r="HQ13" s="4"/>
      <c r="HR13" s="4"/>
      <c r="HS13" s="4"/>
      <c r="HT13" s="4"/>
      <c r="HU13" s="4"/>
      <c r="HV13" s="4"/>
      <c r="HW13" s="4"/>
      <c r="HX13" s="4"/>
      <c r="HY13" s="4"/>
      <c r="HZ13" s="4"/>
      <c r="IA13" s="4"/>
      <c r="IB13" s="4"/>
      <c r="IC13" s="4"/>
      <c r="ID13" s="4"/>
    </row>
    <row r="14" spans="1:238" ht="13.5" outlineLevel="2">
      <c r="A14" s="110"/>
      <c r="B14" s="110"/>
      <c r="C14" s="110">
        <v>3</v>
      </c>
      <c r="D14" s="3" t="s">
        <v>429</v>
      </c>
      <c r="E14" s="174"/>
      <c r="F14" s="174"/>
      <c r="G14" s="205" t="s">
        <v>1076</v>
      </c>
      <c r="H14" s="174"/>
      <c r="I14" s="174"/>
      <c r="J14" s="174"/>
      <c r="K14" s="174"/>
      <c r="L14" s="174"/>
      <c r="M14" s="204">
        <v>43556</v>
      </c>
      <c r="N14" s="204">
        <v>43569</v>
      </c>
      <c r="O14" s="174"/>
      <c r="P14" s="176">
        <v>14</v>
      </c>
      <c r="Q14" s="176">
        <v>0</v>
      </c>
      <c r="R14" s="177">
        <v>14</v>
      </c>
      <c r="S14" s="177">
        <v>0</v>
      </c>
      <c r="T14" s="175"/>
      <c r="U14" s="175"/>
      <c r="V14" s="178"/>
      <c r="W14" s="179">
        <v>0</v>
      </c>
      <c r="X14" s="180">
        <v>1</v>
      </c>
      <c r="Y14" s="198" t="s">
        <v>1093</v>
      </c>
      <c r="Z14" s="181"/>
      <c r="AA14" s="94">
        <v>0</v>
      </c>
      <c r="AB14" s="182">
        <v>0</v>
      </c>
      <c r="AC14" s="116"/>
      <c r="AD14" s="4"/>
      <c r="AE14" s="4"/>
      <c r="AF14" s="4"/>
      <c r="AG14" s="4"/>
      <c r="AH14" s="4"/>
      <c r="AI14" s="4"/>
      <c r="AJ14" s="4" t="str">
        <f>" " &amp; TEXT(AB14,"#0.00%") &amp; "/" &amp; TEXT(AA14,"#0.00% ") &amp; "" &amp; "컴퓨터 그래픽스 구현" &amp; "(윤승혁)" &amp; " " &amp; IF(M14="","",TEXT(M14,"M/D-")) &amp; IF(N14="","",TEXT(N14,"M/D")) &amp; " "</f>
        <v xml:space="preserve"> 0.00%/0.00% 컴퓨터 그래픽스 구현(윤승혁) 4/1-4/14 </v>
      </c>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c r="ER14" s="4"/>
      <c r="ES14" s="4"/>
      <c r="ET14" s="4"/>
      <c r="EU14" s="4"/>
      <c r="EV14" s="4"/>
      <c r="EW14" s="4"/>
      <c r="EX14" s="4"/>
      <c r="EY14" s="4"/>
      <c r="EZ14" s="4"/>
      <c r="FA14" s="4"/>
      <c r="FB14" s="4"/>
      <c r="FC14" s="4"/>
      <c r="FD14" s="4"/>
      <c r="FE14" s="4"/>
      <c r="FF14" s="4"/>
      <c r="FG14" s="4"/>
      <c r="FH14" s="4"/>
      <c r="FI14" s="4"/>
      <c r="FJ14" s="4"/>
      <c r="FK14" s="4"/>
      <c r="FL14" s="4"/>
      <c r="FM14" s="4"/>
      <c r="FN14" s="4"/>
      <c r="FO14" s="4"/>
      <c r="FP14" s="4"/>
      <c r="FQ14" s="4"/>
      <c r="FR14" s="4"/>
      <c r="FS14" s="4"/>
      <c r="FT14" s="4"/>
      <c r="FU14" s="4"/>
      <c r="FV14" s="4"/>
      <c r="FW14" s="4"/>
      <c r="FX14" s="4"/>
      <c r="FY14" s="4"/>
      <c r="FZ14" s="4"/>
      <c r="GA14" s="4"/>
      <c r="GB14" s="4"/>
      <c r="GC14" s="4"/>
      <c r="GD14" s="4"/>
      <c r="GE14" s="4"/>
      <c r="GF14" s="4"/>
      <c r="GG14" s="4"/>
      <c r="GH14" s="4"/>
      <c r="GI14" s="4"/>
      <c r="GJ14" s="4"/>
      <c r="GK14" s="4"/>
      <c r="GL14" s="4"/>
      <c r="GM14" s="4"/>
      <c r="GN14" s="4"/>
      <c r="GO14" s="4"/>
      <c r="GP14" s="4"/>
      <c r="GQ14" s="4"/>
      <c r="GR14" s="4"/>
      <c r="GS14" s="4"/>
      <c r="GT14" s="4"/>
      <c r="GU14" s="4"/>
      <c r="GV14" s="4"/>
      <c r="GW14" s="4"/>
      <c r="GX14" s="4"/>
      <c r="GY14" s="4"/>
      <c r="GZ14" s="4"/>
      <c r="HA14" s="4"/>
      <c r="HB14" s="4"/>
      <c r="HC14" s="4"/>
      <c r="HD14" s="4"/>
      <c r="HE14" s="4"/>
      <c r="HF14" s="4"/>
      <c r="HG14" s="4"/>
      <c r="HH14" s="4"/>
      <c r="HI14" s="4"/>
      <c r="HJ14" s="4"/>
      <c r="HK14" s="4"/>
      <c r="HL14" s="4"/>
      <c r="HM14" s="4"/>
      <c r="HN14" s="4"/>
      <c r="HO14" s="4"/>
      <c r="HP14" s="4"/>
      <c r="HQ14" s="4"/>
      <c r="HR14" s="4"/>
      <c r="HS14" s="4"/>
      <c r="HT14" s="4"/>
      <c r="HU14" s="4"/>
      <c r="HV14" s="4"/>
      <c r="HW14" s="4"/>
      <c r="HX14" s="4"/>
      <c r="HY14" s="4"/>
      <c r="HZ14" s="4"/>
      <c r="IA14" s="4"/>
      <c r="IB14" s="4"/>
      <c r="IC14" s="4"/>
      <c r="ID14" s="4"/>
    </row>
    <row r="15" spans="1:238" outlineLevel="2">
      <c r="A15" s="110"/>
      <c r="B15" s="110"/>
      <c r="C15" s="110">
        <v>0</v>
      </c>
      <c r="D15" s="3"/>
      <c r="E15" s="174"/>
      <c r="F15" s="174"/>
      <c r="G15" s="174"/>
      <c r="H15" s="174"/>
      <c r="I15" s="174"/>
      <c r="J15" s="174"/>
      <c r="K15" s="174"/>
      <c r="L15" s="174"/>
      <c r="M15" s="175"/>
      <c r="N15" s="175"/>
      <c r="O15" s="174"/>
      <c r="P15" s="176"/>
      <c r="Q15" s="176"/>
      <c r="R15" s="177">
        <v>0</v>
      </c>
      <c r="S15" s="177">
        <v>0</v>
      </c>
      <c r="T15" s="175"/>
      <c r="U15" s="175"/>
      <c r="V15" s="178"/>
      <c r="W15" s="179">
        <v>0</v>
      </c>
      <c r="X15" s="180"/>
      <c r="Y15" s="174"/>
      <c r="Z15" s="181"/>
      <c r="AA15" s="94"/>
      <c r="AB15" s="182"/>
      <c r="AC15" s="116"/>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c r="ER15" s="4"/>
      <c r="ES15" s="4"/>
      <c r="ET15" s="4"/>
      <c r="EU15" s="4"/>
      <c r="EV15" s="4"/>
      <c r="EW15" s="4"/>
      <c r="EX15" s="4"/>
      <c r="EY15" s="4"/>
      <c r="EZ15" s="4"/>
      <c r="FA15" s="4"/>
      <c r="FB15" s="4"/>
      <c r="FC15" s="4"/>
      <c r="FD15" s="4"/>
      <c r="FE15" s="4"/>
      <c r="FF15" s="4"/>
      <c r="FG15" s="4"/>
      <c r="FH15" s="4"/>
      <c r="FI15" s="4"/>
      <c r="FJ15" s="4"/>
      <c r="FK15" s="4"/>
      <c r="FL15" s="4"/>
      <c r="FM15" s="4"/>
      <c r="FN15" s="4"/>
      <c r="FO15" s="4"/>
      <c r="FP15" s="4"/>
      <c r="FQ15" s="4"/>
      <c r="FR15" s="4"/>
      <c r="FS15" s="4"/>
      <c r="FT15" s="4"/>
      <c r="FU15" s="4"/>
      <c r="FV15" s="4"/>
      <c r="FW15" s="4"/>
      <c r="FX15" s="4"/>
      <c r="FY15" s="4"/>
      <c r="FZ15" s="4"/>
      <c r="GA15" s="4"/>
      <c r="GB15" s="4"/>
      <c r="GC15" s="4"/>
      <c r="GD15" s="4"/>
      <c r="GE15" s="4"/>
      <c r="GF15" s="4"/>
      <c r="GG15" s="4"/>
      <c r="GH15" s="4"/>
      <c r="GI15" s="4"/>
      <c r="GJ15" s="4"/>
      <c r="GK15" s="4"/>
      <c r="GL15" s="4"/>
      <c r="GM15" s="4"/>
      <c r="GN15" s="4"/>
      <c r="GO15" s="4"/>
      <c r="GP15" s="4"/>
      <c r="GQ15" s="4"/>
      <c r="GR15" s="4"/>
      <c r="GS15" s="4"/>
      <c r="GT15" s="4"/>
      <c r="GU15" s="4"/>
      <c r="GV15" s="4"/>
      <c r="GW15" s="4"/>
      <c r="GX15" s="4"/>
      <c r="GY15" s="4"/>
      <c r="GZ15" s="4"/>
      <c r="HA15" s="4"/>
      <c r="HB15" s="4"/>
      <c r="HC15" s="4"/>
      <c r="HD15" s="4"/>
      <c r="HE15" s="4"/>
      <c r="HF15" s="4"/>
      <c r="HG15" s="4"/>
      <c r="HH15" s="4"/>
      <c r="HI15" s="4"/>
      <c r="HJ15" s="4"/>
      <c r="HK15" s="4"/>
      <c r="HL15" s="4"/>
      <c r="HM15" s="4"/>
      <c r="HN15" s="4"/>
      <c r="HO15" s="4"/>
      <c r="HP15" s="4"/>
      <c r="HQ15" s="4"/>
      <c r="HR15" s="4"/>
      <c r="HS15" s="4"/>
      <c r="HT15" s="4"/>
      <c r="HU15" s="4"/>
      <c r="HV15" s="4"/>
      <c r="HW15" s="4"/>
      <c r="HX15" s="4"/>
      <c r="HY15" s="4"/>
      <c r="HZ15" s="4"/>
      <c r="IA15" s="4"/>
      <c r="IB15" s="4"/>
      <c r="IC15" s="4"/>
      <c r="ID15" s="4"/>
    </row>
    <row r="16" spans="1:238" outlineLevel="2">
      <c r="A16" s="110"/>
      <c r="B16" s="110"/>
      <c r="C16" s="110">
        <v>0</v>
      </c>
      <c r="D16" s="3"/>
      <c r="E16" s="174"/>
      <c r="F16" s="174"/>
      <c r="G16" s="174"/>
      <c r="H16" s="174"/>
      <c r="I16" s="174"/>
      <c r="J16" s="174"/>
      <c r="K16" s="174"/>
      <c r="L16" s="174"/>
      <c r="M16" s="175"/>
      <c r="N16" s="175"/>
      <c r="O16" s="174"/>
      <c r="P16" s="176"/>
      <c r="Q16" s="176"/>
      <c r="R16" s="177">
        <v>0</v>
      </c>
      <c r="S16" s="177">
        <v>0</v>
      </c>
      <c r="T16" s="175"/>
      <c r="U16" s="175"/>
      <c r="V16" s="178"/>
      <c r="W16" s="179">
        <v>0</v>
      </c>
      <c r="X16" s="180"/>
      <c r="Y16" s="174"/>
      <c r="Z16" s="181"/>
      <c r="AA16" s="94"/>
      <c r="AB16" s="182"/>
      <c r="AC16" s="116"/>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c r="ER16" s="4"/>
      <c r="ES16" s="4"/>
      <c r="ET16" s="4"/>
      <c r="EU16" s="4"/>
      <c r="EV16" s="4"/>
      <c r="EW16" s="4"/>
      <c r="EX16" s="4"/>
      <c r="EY16" s="4"/>
      <c r="EZ16" s="4"/>
      <c r="FA16" s="4"/>
      <c r="FB16" s="4"/>
      <c r="FC16" s="4"/>
      <c r="FD16" s="4"/>
      <c r="FE16" s="4"/>
      <c r="FF16" s="4"/>
      <c r="FG16" s="4"/>
      <c r="FH16" s="4"/>
      <c r="FI16" s="4"/>
      <c r="FJ16" s="4"/>
      <c r="FK16" s="4"/>
      <c r="FL16" s="4"/>
      <c r="FM16" s="4"/>
      <c r="FN16" s="4"/>
      <c r="FO16" s="4"/>
      <c r="FP16" s="4"/>
      <c r="FQ16" s="4"/>
      <c r="FR16" s="4"/>
      <c r="FS16" s="4"/>
      <c r="FT16" s="4"/>
      <c r="FU16" s="4"/>
      <c r="FV16" s="4"/>
      <c r="FW16" s="4"/>
      <c r="FX16" s="4"/>
      <c r="FY16" s="4"/>
      <c r="FZ16" s="4"/>
      <c r="GA16" s="4"/>
      <c r="GB16" s="4"/>
      <c r="GC16" s="4"/>
      <c r="GD16" s="4"/>
      <c r="GE16" s="4"/>
      <c r="GF16" s="4"/>
      <c r="GG16" s="4"/>
      <c r="GH16" s="4"/>
      <c r="GI16" s="4"/>
      <c r="GJ16" s="4"/>
      <c r="GK16" s="4"/>
      <c r="GL16" s="4"/>
      <c r="GM16" s="4"/>
      <c r="GN16" s="4"/>
      <c r="GO16" s="4"/>
      <c r="GP16" s="4"/>
      <c r="GQ16" s="4"/>
      <c r="GR16" s="4"/>
      <c r="GS16" s="4"/>
      <c r="GT16" s="4"/>
      <c r="GU16" s="4"/>
      <c r="GV16" s="4"/>
      <c r="GW16" s="4"/>
      <c r="GX16" s="4"/>
      <c r="GY16" s="4"/>
      <c r="GZ16" s="4"/>
      <c r="HA16" s="4"/>
      <c r="HB16" s="4"/>
      <c r="HC16" s="4"/>
      <c r="HD16" s="4"/>
      <c r="HE16" s="4"/>
      <c r="HF16" s="4"/>
      <c r="HG16" s="4"/>
      <c r="HH16" s="4"/>
      <c r="HI16" s="4"/>
      <c r="HJ16" s="4"/>
      <c r="HK16" s="4"/>
      <c r="HL16" s="4"/>
      <c r="HM16" s="4"/>
      <c r="HN16" s="4"/>
      <c r="HO16" s="4"/>
      <c r="HP16" s="4"/>
      <c r="HQ16" s="4"/>
      <c r="HR16" s="4"/>
      <c r="HS16" s="4"/>
      <c r="HT16" s="4"/>
      <c r="HU16" s="4"/>
      <c r="HV16" s="4"/>
      <c r="HW16" s="4"/>
      <c r="HX16" s="4"/>
      <c r="HY16" s="4"/>
      <c r="HZ16" s="4"/>
      <c r="IA16" s="4"/>
      <c r="IB16" s="4"/>
      <c r="IC16" s="4"/>
      <c r="ID16" s="4"/>
    </row>
    <row r="17" spans="1:238" outlineLevel="2">
      <c r="A17" s="110"/>
      <c r="B17" s="110"/>
      <c r="C17" s="110">
        <v>0</v>
      </c>
      <c r="D17" s="3"/>
      <c r="E17" s="174"/>
      <c r="F17" s="174"/>
      <c r="G17" s="174"/>
      <c r="H17" s="174"/>
      <c r="I17" s="174"/>
      <c r="J17" s="174"/>
      <c r="K17" s="174"/>
      <c r="L17" s="174"/>
      <c r="M17" s="175"/>
      <c r="N17" s="175"/>
      <c r="O17" s="174"/>
      <c r="P17" s="176"/>
      <c r="Q17" s="176"/>
      <c r="R17" s="177">
        <v>0</v>
      </c>
      <c r="S17" s="177">
        <v>0</v>
      </c>
      <c r="T17" s="175"/>
      <c r="U17" s="175"/>
      <c r="V17" s="178"/>
      <c r="W17" s="179">
        <v>0</v>
      </c>
      <c r="X17" s="180"/>
      <c r="Y17" s="174"/>
      <c r="Z17" s="181"/>
      <c r="AA17" s="94"/>
      <c r="AB17" s="182"/>
      <c r="AC17" s="116"/>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c r="ER17" s="4"/>
      <c r="ES17" s="4"/>
      <c r="ET17" s="4"/>
      <c r="EU17" s="4"/>
      <c r="EV17" s="4"/>
      <c r="EW17" s="4"/>
      <c r="EX17" s="4"/>
      <c r="EY17" s="4"/>
      <c r="EZ17" s="4"/>
      <c r="FA17" s="4"/>
      <c r="FB17" s="4"/>
      <c r="FC17" s="4"/>
      <c r="FD17" s="4"/>
      <c r="FE17" s="4"/>
      <c r="FF17" s="4"/>
      <c r="FG17" s="4"/>
      <c r="FH17" s="4"/>
      <c r="FI17" s="4"/>
      <c r="FJ17" s="4"/>
      <c r="FK17" s="4"/>
      <c r="FL17" s="4"/>
      <c r="FM17" s="4"/>
      <c r="FN17" s="4"/>
      <c r="FO17" s="4"/>
      <c r="FP17" s="4"/>
      <c r="FQ17" s="4"/>
      <c r="FR17" s="4"/>
      <c r="FS17" s="4"/>
      <c r="FT17" s="4"/>
      <c r="FU17" s="4"/>
      <c r="FV17" s="4"/>
      <c r="FW17" s="4"/>
      <c r="FX17" s="4"/>
      <c r="FY17" s="4"/>
      <c r="FZ17" s="4"/>
      <c r="GA17" s="4"/>
      <c r="GB17" s="4"/>
      <c r="GC17" s="4"/>
      <c r="GD17" s="4"/>
      <c r="GE17" s="4"/>
      <c r="GF17" s="4"/>
      <c r="GG17" s="4"/>
      <c r="GH17" s="4"/>
      <c r="GI17" s="4"/>
      <c r="GJ17" s="4"/>
      <c r="GK17" s="4"/>
      <c r="GL17" s="4"/>
      <c r="GM17" s="4"/>
      <c r="GN17" s="4"/>
      <c r="GO17" s="4"/>
      <c r="GP17" s="4"/>
      <c r="GQ17" s="4"/>
      <c r="GR17" s="4"/>
      <c r="GS17" s="4"/>
      <c r="GT17" s="4"/>
      <c r="GU17" s="4"/>
      <c r="GV17" s="4"/>
      <c r="GW17" s="4"/>
      <c r="GX17" s="4"/>
      <c r="GY17" s="4"/>
      <c r="GZ17" s="4"/>
      <c r="HA17" s="4"/>
      <c r="HB17" s="4"/>
      <c r="HC17" s="4"/>
      <c r="HD17" s="4"/>
      <c r="HE17" s="4"/>
      <c r="HF17" s="4"/>
      <c r="HG17" s="4"/>
      <c r="HH17" s="4"/>
      <c r="HI17" s="4"/>
      <c r="HJ17" s="4"/>
      <c r="HK17" s="4"/>
      <c r="HL17" s="4"/>
      <c r="HM17" s="4"/>
      <c r="HN17" s="4"/>
      <c r="HO17" s="4"/>
      <c r="HP17" s="4"/>
      <c r="HQ17" s="4"/>
      <c r="HR17" s="4"/>
      <c r="HS17" s="4"/>
      <c r="HT17" s="4"/>
      <c r="HU17" s="4"/>
      <c r="HV17" s="4"/>
      <c r="HW17" s="4"/>
      <c r="HX17" s="4"/>
      <c r="HY17" s="4"/>
      <c r="HZ17" s="4"/>
      <c r="IA17" s="4"/>
      <c r="IB17" s="4"/>
      <c r="IC17" s="4"/>
      <c r="ID17" s="4"/>
    </row>
    <row r="18" spans="1:238" ht="13.5" outlineLevel="1">
      <c r="A18" s="110"/>
      <c r="B18" s="110" t="s">
        <v>988</v>
      </c>
      <c r="C18" s="110">
        <v>2</v>
      </c>
      <c r="D18" s="3" t="s">
        <v>993</v>
      </c>
      <c r="E18" s="174"/>
      <c r="F18" s="201" t="s">
        <v>1069</v>
      </c>
      <c r="G18" s="174"/>
      <c r="H18" s="174"/>
      <c r="I18" s="174"/>
      <c r="J18" s="174"/>
      <c r="K18" s="174"/>
      <c r="L18" s="174"/>
      <c r="M18" s="175">
        <v>43556</v>
      </c>
      <c r="N18" s="175">
        <v>43677</v>
      </c>
      <c r="O18" s="174"/>
      <c r="P18" s="176">
        <v>120</v>
      </c>
      <c r="Q18" s="176">
        <v>0</v>
      </c>
      <c r="R18" s="177">
        <v>120</v>
      </c>
      <c r="S18" s="177">
        <v>0</v>
      </c>
      <c r="T18" s="175"/>
      <c r="U18" s="175"/>
      <c r="V18" s="178">
        <v>0</v>
      </c>
      <c r="W18" s="179">
        <v>0</v>
      </c>
      <c r="X18" s="180"/>
      <c r="Y18" s="198" t="s">
        <v>1094</v>
      </c>
      <c r="Z18" s="181"/>
      <c r="AA18" s="94">
        <v>0</v>
      </c>
      <c r="AB18" s="182">
        <v>0</v>
      </c>
      <c r="AC18" s="116"/>
      <c r="AD18" s="4"/>
      <c r="AE18" s="4"/>
      <c r="AF18" s="4"/>
      <c r="AG18" s="4"/>
      <c r="AH18" s="4"/>
      <c r="AI18" s="4"/>
      <c r="AJ18" s="4" t="str">
        <f>" " &amp; TEXT(AB18,"#0.00%") &amp; "/" &amp; TEXT(AA18,"#0.00% ") &amp; ""</f>
        <v xml:space="preserve"> 0.00%/0.00% </v>
      </c>
      <c r="AK18" s="4"/>
      <c r="AL18" s="4"/>
      <c r="AM18" s="4"/>
      <c r="AN18" s="4"/>
      <c r="AO18" s="4"/>
      <c r="AP18" s="4"/>
      <c r="AQ18" s="4"/>
      <c r="AR18" s="4"/>
      <c r="AS18" s="4"/>
      <c r="AT18" s="4"/>
      <c r="AU18" s="4"/>
      <c r="AV18" s="4"/>
      <c r="AW18" s="4"/>
      <c r="AX18" s="4"/>
      <c r="AY18" s="4"/>
      <c r="AZ18" s="4"/>
      <c r="BA18" s="4" t="str">
        <f>"    " &amp; "하드웨어구현" &amp; "(강한결)" &amp; " " &amp; IF(M18="","",TEXT(M18,"M/D-")) &amp; IF(N18="","",TEXT(N18,"M/D")) &amp; " "</f>
        <v xml:space="preserve">    하드웨어구현(강한결) 4/1-7/31 </v>
      </c>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c r="ER18" s="4"/>
      <c r="ES18" s="4"/>
      <c r="ET18" s="4"/>
      <c r="EU18" s="4"/>
      <c r="EV18" s="4"/>
      <c r="EW18" s="4"/>
      <c r="EX18" s="4"/>
      <c r="EY18" s="4"/>
      <c r="EZ18" s="4"/>
      <c r="FA18" s="4"/>
      <c r="FB18" s="4"/>
      <c r="FC18" s="4"/>
      <c r="FD18" s="4"/>
      <c r="FE18" s="4"/>
      <c r="FF18" s="4"/>
      <c r="FG18" s="4"/>
      <c r="FH18" s="4"/>
      <c r="FI18" s="4"/>
      <c r="FJ18" s="4"/>
      <c r="FK18" s="4"/>
      <c r="FL18" s="4"/>
      <c r="FM18" s="4"/>
      <c r="FN18" s="4"/>
      <c r="FO18" s="4"/>
      <c r="FP18" s="4"/>
      <c r="FQ18" s="4"/>
      <c r="FR18" s="4"/>
      <c r="FS18" s="4"/>
      <c r="FT18" s="4"/>
      <c r="FU18" s="4"/>
      <c r="FV18" s="4"/>
      <c r="FW18" s="4"/>
      <c r="FX18" s="4"/>
      <c r="FY18" s="4"/>
      <c r="FZ18" s="4"/>
      <c r="GA18" s="4"/>
      <c r="GB18" s="4"/>
      <c r="GC18" s="4"/>
      <c r="GD18" s="4"/>
      <c r="GE18" s="4"/>
      <c r="GF18" s="4"/>
      <c r="GG18" s="4"/>
      <c r="GH18" s="4"/>
      <c r="GI18" s="4"/>
      <c r="GJ18" s="4"/>
      <c r="GK18" s="4"/>
      <c r="GL18" s="4"/>
      <c r="GM18" s="4"/>
      <c r="GN18" s="4"/>
      <c r="GO18" s="4"/>
      <c r="GP18" s="4"/>
      <c r="GQ18" s="4"/>
      <c r="GR18" s="4"/>
      <c r="GS18" s="4"/>
      <c r="GT18" s="4"/>
      <c r="GU18" s="4"/>
      <c r="GV18" s="4"/>
      <c r="GW18" s="4"/>
      <c r="GX18" s="4"/>
      <c r="GY18" s="4"/>
      <c r="GZ18" s="4"/>
      <c r="HA18" s="4"/>
      <c r="HB18" s="4"/>
      <c r="HC18" s="4"/>
      <c r="HD18" s="4"/>
      <c r="HE18" s="4"/>
      <c r="HF18" s="4"/>
      <c r="HG18" s="4"/>
      <c r="HH18" s="4"/>
      <c r="HI18" s="4"/>
      <c r="HJ18" s="4"/>
      <c r="HK18" s="4"/>
      <c r="HL18" s="4"/>
      <c r="HM18" s="4"/>
      <c r="HN18" s="4"/>
      <c r="HO18" s="4"/>
      <c r="HP18" s="4"/>
      <c r="HQ18" s="4"/>
      <c r="HR18" s="4"/>
      <c r="HS18" s="4"/>
      <c r="HT18" s="4"/>
      <c r="HU18" s="4"/>
      <c r="HV18" s="4"/>
      <c r="HW18" s="4"/>
      <c r="HX18" s="4"/>
      <c r="HY18" s="4"/>
      <c r="HZ18" s="4"/>
      <c r="IA18" s="4"/>
      <c r="IB18" s="4"/>
      <c r="IC18" s="4"/>
      <c r="ID18" s="4"/>
    </row>
    <row r="19" spans="1:238" ht="13.5" outlineLevel="2">
      <c r="A19" s="110"/>
      <c r="B19" s="110"/>
      <c r="C19" s="110">
        <v>3</v>
      </c>
      <c r="D19" s="3" t="s">
        <v>430</v>
      </c>
      <c r="E19" s="174"/>
      <c r="F19" s="174"/>
      <c r="G19" s="205" t="s">
        <v>1077</v>
      </c>
      <c r="H19" s="174"/>
      <c r="I19" s="174"/>
      <c r="J19" s="174"/>
      <c r="K19" s="174"/>
      <c r="L19" s="174"/>
      <c r="M19" s="204">
        <v>43556</v>
      </c>
      <c r="N19" s="204">
        <v>43616</v>
      </c>
      <c r="O19" s="174"/>
      <c r="P19" s="176">
        <v>60</v>
      </c>
      <c r="Q19" s="176">
        <v>0</v>
      </c>
      <c r="R19" s="177">
        <v>60</v>
      </c>
      <c r="S19" s="177">
        <v>0</v>
      </c>
      <c r="T19" s="175"/>
      <c r="U19" s="175"/>
      <c r="V19" s="178"/>
      <c r="W19" s="179">
        <v>0</v>
      </c>
      <c r="X19" s="180">
        <v>1</v>
      </c>
      <c r="Y19" s="198" t="s">
        <v>1094</v>
      </c>
      <c r="Z19" s="181"/>
      <c r="AA19" s="94">
        <v>0</v>
      </c>
      <c r="AB19" s="182">
        <v>0</v>
      </c>
      <c r="AC19" s="116"/>
      <c r="AD19" s="4"/>
      <c r="AE19" s="4"/>
      <c r="AF19" s="4"/>
      <c r="AG19" s="4"/>
      <c r="AH19" s="4"/>
      <c r="AI19" s="4"/>
      <c r="AJ19" s="4" t="str">
        <f>" " &amp; TEXT(AB19,"#0.00%") &amp; "/" &amp; TEXT(AA19,"#0.00% ") &amp; ""</f>
        <v xml:space="preserve"> 0.00%/0.00% </v>
      </c>
      <c r="AK19" s="4"/>
      <c r="AL19" s="4"/>
      <c r="AM19" s="4"/>
      <c r="AN19" s="4"/>
      <c r="AO19" s="4"/>
      <c r="AP19" s="4"/>
      <c r="AQ19" s="4"/>
      <c r="AR19" s="4" t="str">
        <f>"      " &amp; "보드 통신 및 조작 구현" &amp; "(강한결)" &amp; " " &amp; IF(M19="","",TEXT(M19,"M/D-")) &amp; IF(N19="","",TEXT(N19,"M/D")) &amp; " "</f>
        <v xml:space="preserve">      보드 통신 및 조작 구현(강한결) 4/1-5/31 </v>
      </c>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c r="ER19" s="4"/>
      <c r="ES19" s="4"/>
      <c r="ET19" s="4"/>
      <c r="EU19" s="4"/>
      <c r="EV19" s="4"/>
      <c r="EW19" s="4"/>
      <c r="EX19" s="4"/>
      <c r="EY19" s="4"/>
      <c r="EZ19" s="4"/>
      <c r="FA19" s="4"/>
      <c r="FB19" s="4"/>
      <c r="FC19" s="4"/>
      <c r="FD19" s="4"/>
      <c r="FE19" s="4"/>
      <c r="FF19" s="4"/>
      <c r="FG19" s="4"/>
      <c r="FH19" s="4"/>
      <c r="FI19" s="4"/>
      <c r="FJ19" s="4"/>
      <c r="FK19" s="4"/>
      <c r="FL19" s="4"/>
      <c r="FM19" s="4"/>
      <c r="FN19" s="4"/>
      <c r="FO19" s="4"/>
      <c r="FP19" s="4"/>
      <c r="FQ19" s="4"/>
      <c r="FR19" s="4"/>
      <c r="FS19" s="4"/>
      <c r="FT19" s="4"/>
      <c r="FU19" s="4"/>
      <c r="FV19" s="4"/>
      <c r="FW19" s="4"/>
      <c r="FX19" s="4"/>
      <c r="FY19" s="4"/>
      <c r="FZ19" s="4"/>
      <c r="GA19" s="4"/>
      <c r="GB19" s="4"/>
      <c r="GC19" s="4"/>
      <c r="GD19" s="4"/>
      <c r="GE19" s="4"/>
      <c r="GF19" s="4"/>
      <c r="GG19" s="4"/>
      <c r="GH19" s="4"/>
      <c r="GI19" s="4"/>
      <c r="GJ19" s="4"/>
      <c r="GK19" s="4"/>
      <c r="GL19" s="4"/>
      <c r="GM19" s="4"/>
      <c r="GN19" s="4"/>
      <c r="GO19" s="4"/>
      <c r="GP19" s="4"/>
      <c r="GQ19" s="4"/>
      <c r="GR19" s="4"/>
      <c r="GS19" s="4"/>
      <c r="GT19" s="4"/>
      <c r="GU19" s="4"/>
      <c r="GV19" s="4"/>
      <c r="GW19" s="4"/>
      <c r="GX19" s="4"/>
      <c r="GY19" s="4"/>
      <c r="GZ19" s="4"/>
      <c r="HA19" s="4"/>
      <c r="HB19" s="4"/>
      <c r="HC19" s="4"/>
      <c r="HD19" s="4"/>
      <c r="HE19" s="4"/>
      <c r="HF19" s="4"/>
      <c r="HG19" s="4"/>
      <c r="HH19" s="4"/>
      <c r="HI19" s="4"/>
      <c r="HJ19" s="4"/>
      <c r="HK19" s="4"/>
      <c r="HL19" s="4"/>
      <c r="HM19" s="4"/>
      <c r="HN19" s="4"/>
      <c r="HO19" s="4"/>
      <c r="HP19" s="4"/>
      <c r="HQ19" s="4"/>
      <c r="HR19" s="4"/>
      <c r="HS19" s="4"/>
      <c r="HT19" s="4"/>
      <c r="HU19" s="4"/>
      <c r="HV19" s="4"/>
      <c r="HW19" s="4"/>
      <c r="HX19" s="4"/>
      <c r="HY19" s="4"/>
      <c r="HZ19" s="4"/>
      <c r="IA19" s="4"/>
      <c r="IB19" s="4"/>
      <c r="IC19" s="4"/>
      <c r="ID19" s="4"/>
    </row>
    <row r="20" spans="1:238" ht="13.5" outlineLevel="2">
      <c r="A20" s="110"/>
      <c r="B20" s="110"/>
      <c r="C20" s="110">
        <v>3</v>
      </c>
      <c r="D20" s="3" t="s">
        <v>431</v>
      </c>
      <c r="E20" s="174"/>
      <c r="F20" s="174"/>
      <c r="G20" s="205" t="s">
        <v>1078</v>
      </c>
      <c r="H20" s="174"/>
      <c r="I20" s="174"/>
      <c r="J20" s="174"/>
      <c r="K20" s="174"/>
      <c r="L20" s="174"/>
      <c r="M20" s="204">
        <v>43617</v>
      </c>
      <c r="N20" s="204">
        <v>43677</v>
      </c>
      <c r="O20" s="174"/>
      <c r="P20" s="176">
        <v>60</v>
      </c>
      <c r="Q20" s="176">
        <v>0</v>
      </c>
      <c r="R20" s="177">
        <v>60</v>
      </c>
      <c r="S20" s="177">
        <v>0</v>
      </c>
      <c r="T20" s="175"/>
      <c r="U20" s="175"/>
      <c r="V20" s="178"/>
      <c r="W20" s="179">
        <v>0</v>
      </c>
      <c r="X20" s="180">
        <v>1</v>
      </c>
      <c r="Y20" s="198" t="s">
        <v>1094</v>
      </c>
      <c r="Z20" s="181"/>
      <c r="AA20" s="94">
        <v>0</v>
      </c>
      <c r="AB20" s="182">
        <v>0</v>
      </c>
      <c r="AC20" s="116"/>
      <c r="AD20" s="4"/>
      <c r="AE20" s="4"/>
      <c r="AF20" s="4"/>
      <c r="AG20" s="4"/>
      <c r="AH20" s="4"/>
      <c r="AI20" s="4"/>
      <c r="AJ20" s="4"/>
      <c r="AK20" s="4"/>
      <c r="AL20" s="4"/>
      <c r="AM20" s="4"/>
      <c r="AN20" s="4"/>
      <c r="AO20" s="4"/>
      <c r="AP20" s="4"/>
      <c r="AQ20" s="4"/>
      <c r="AR20" s="4" t="str">
        <f>"      " &amp; TEXT(AB20,"#0.00%") &amp; "/" &amp; TEXT(AA20,"#0.00% ") &amp; ""</f>
        <v xml:space="preserve">      0.00%/0.00% </v>
      </c>
      <c r="AS20" s="4"/>
      <c r="AT20" s="4"/>
      <c r="AU20" s="4"/>
      <c r="AV20" s="4"/>
      <c r="AW20" s="4"/>
      <c r="AX20" s="4"/>
      <c r="AY20" s="4"/>
      <c r="AZ20" s="4"/>
      <c r="BA20" s="4" t="str">
        <f>"    " &amp; "최종 구현 " &amp; "(강한결)" &amp; " " &amp; IF(M20="","",TEXT(M20,"M/D-")) &amp; IF(N20="","",TEXT(N20,"M/D")) &amp; " "</f>
        <v xml:space="preserve">    최종 구현 (강한결) 6/1-7/31 </v>
      </c>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c r="ER20" s="4"/>
      <c r="ES20" s="4"/>
      <c r="ET20" s="4"/>
      <c r="EU20" s="4"/>
      <c r="EV20" s="4"/>
      <c r="EW20" s="4"/>
      <c r="EX20" s="4"/>
      <c r="EY20" s="4"/>
      <c r="EZ20" s="4"/>
      <c r="FA20" s="4"/>
      <c r="FB20" s="4"/>
      <c r="FC20" s="4"/>
      <c r="FD20" s="4"/>
      <c r="FE20" s="4"/>
      <c r="FF20" s="4"/>
      <c r="FG20" s="4"/>
      <c r="FH20" s="4"/>
      <c r="FI20" s="4"/>
      <c r="FJ20" s="4"/>
      <c r="FK20" s="4"/>
      <c r="FL20" s="4"/>
      <c r="FM20" s="4"/>
      <c r="FN20" s="4"/>
      <c r="FO20" s="4"/>
      <c r="FP20" s="4"/>
      <c r="FQ20" s="4"/>
      <c r="FR20" s="4"/>
      <c r="FS20" s="4"/>
      <c r="FT20" s="4"/>
      <c r="FU20" s="4"/>
      <c r="FV20" s="4"/>
      <c r="FW20" s="4"/>
      <c r="FX20" s="4"/>
      <c r="FY20" s="4"/>
      <c r="FZ20" s="4"/>
      <c r="GA20" s="4"/>
      <c r="GB20" s="4"/>
      <c r="GC20" s="4"/>
      <c r="GD20" s="4"/>
      <c r="GE20" s="4"/>
      <c r="GF20" s="4"/>
      <c r="GG20" s="4"/>
      <c r="GH20" s="4"/>
      <c r="GI20" s="4"/>
      <c r="GJ20" s="4"/>
      <c r="GK20" s="4"/>
      <c r="GL20" s="4"/>
      <c r="GM20" s="4"/>
      <c r="GN20" s="4"/>
      <c r="GO20" s="4"/>
      <c r="GP20" s="4"/>
      <c r="GQ20" s="4"/>
      <c r="GR20" s="4"/>
      <c r="GS20" s="4"/>
      <c r="GT20" s="4"/>
      <c r="GU20" s="4"/>
      <c r="GV20" s="4"/>
      <c r="GW20" s="4"/>
      <c r="GX20" s="4"/>
      <c r="GY20" s="4"/>
      <c r="GZ20" s="4"/>
      <c r="HA20" s="4"/>
      <c r="HB20" s="4"/>
      <c r="HC20" s="4"/>
      <c r="HD20" s="4"/>
      <c r="HE20" s="4"/>
      <c r="HF20" s="4"/>
      <c r="HG20" s="4"/>
      <c r="HH20" s="4"/>
      <c r="HI20" s="4"/>
      <c r="HJ20" s="4"/>
      <c r="HK20" s="4"/>
      <c r="HL20" s="4"/>
      <c r="HM20" s="4"/>
      <c r="HN20" s="4"/>
      <c r="HO20" s="4"/>
      <c r="HP20" s="4"/>
      <c r="HQ20" s="4"/>
      <c r="HR20" s="4"/>
      <c r="HS20" s="4"/>
      <c r="HT20" s="4"/>
      <c r="HU20" s="4"/>
      <c r="HV20" s="4"/>
      <c r="HW20" s="4"/>
      <c r="HX20" s="4"/>
      <c r="HY20" s="4"/>
      <c r="HZ20" s="4"/>
      <c r="IA20" s="4"/>
      <c r="IB20" s="4"/>
      <c r="IC20" s="4"/>
      <c r="ID20" s="4"/>
    </row>
    <row r="21" spans="1:238" outlineLevel="2">
      <c r="A21" s="110"/>
      <c r="B21" s="110"/>
      <c r="C21" s="110">
        <v>0</v>
      </c>
      <c r="D21" s="3"/>
      <c r="E21" s="174"/>
      <c r="F21" s="174"/>
      <c r="G21" s="174"/>
      <c r="H21" s="174"/>
      <c r="I21" s="174"/>
      <c r="J21" s="174"/>
      <c r="K21" s="174"/>
      <c r="L21" s="174"/>
      <c r="M21" s="175"/>
      <c r="N21" s="175"/>
      <c r="O21" s="174"/>
      <c r="P21" s="176"/>
      <c r="Q21" s="176"/>
      <c r="R21" s="177">
        <v>0</v>
      </c>
      <c r="S21" s="177">
        <v>0</v>
      </c>
      <c r="T21" s="175"/>
      <c r="U21" s="175"/>
      <c r="V21" s="178"/>
      <c r="W21" s="179">
        <v>0</v>
      </c>
      <c r="X21" s="180"/>
      <c r="Y21" s="174"/>
      <c r="Z21" s="181"/>
      <c r="AA21" s="94"/>
      <c r="AB21" s="182"/>
      <c r="AC21" s="116"/>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c r="ER21" s="4"/>
      <c r="ES21" s="4"/>
      <c r="ET21" s="4"/>
      <c r="EU21" s="4"/>
      <c r="EV21" s="4"/>
      <c r="EW21" s="4"/>
      <c r="EX21" s="4"/>
      <c r="EY21" s="4"/>
      <c r="EZ21" s="4"/>
      <c r="FA21" s="4"/>
      <c r="FB21" s="4"/>
      <c r="FC21" s="4"/>
      <c r="FD21" s="4"/>
      <c r="FE21" s="4"/>
      <c r="FF21" s="4"/>
      <c r="FG21" s="4"/>
      <c r="FH21" s="4"/>
      <c r="FI21" s="4"/>
      <c r="FJ21" s="4"/>
      <c r="FK21" s="4"/>
      <c r="FL21" s="4"/>
      <c r="FM21" s="4"/>
      <c r="FN21" s="4"/>
      <c r="FO21" s="4"/>
      <c r="FP21" s="4"/>
      <c r="FQ21" s="4"/>
      <c r="FR21" s="4"/>
      <c r="FS21" s="4"/>
      <c r="FT21" s="4"/>
      <c r="FU21" s="4"/>
      <c r="FV21" s="4"/>
      <c r="FW21" s="4"/>
      <c r="FX21" s="4"/>
      <c r="FY21" s="4"/>
      <c r="FZ21" s="4"/>
      <c r="GA21" s="4"/>
      <c r="GB21" s="4"/>
      <c r="GC21" s="4"/>
      <c r="GD21" s="4"/>
      <c r="GE21" s="4"/>
      <c r="GF21" s="4"/>
      <c r="GG21" s="4"/>
      <c r="GH21" s="4"/>
      <c r="GI21" s="4"/>
      <c r="GJ21" s="4"/>
      <c r="GK21" s="4"/>
      <c r="GL21" s="4"/>
      <c r="GM21" s="4"/>
      <c r="GN21" s="4"/>
      <c r="GO21" s="4"/>
      <c r="GP21" s="4"/>
      <c r="GQ21" s="4"/>
      <c r="GR21" s="4"/>
      <c r="GS21" s="4"/>
      <c r="GT21" s="4"/>
      <c r="GU21" s="4"/>
      <c r="GV21" s="4"/>
      <c r="GW21" s="4"/>
      <c r="GX21" s="4"/>
      <c r="GY21" s="4"/>
      <c r="GZ21" s="4"/>
      <c r="HA21" s="4"/>
      <c r="HB21" s="4"/>
      <c r="HC21" s="4"/>
      <c r="HD21" s="4"/>
      <c r="HE21" s="4"/>
      <c r="HF21" s="4"/>
      <c r="HG21" s="4"/>
      <c r="HH21" s="4"/>
      <c r="HI21" s="4"/>
      <c r="HJ21" s="4"/>
      <c r="HK21" s="4"/>
      <c r="HL21" s="4"/>
      <c r="HM21" s="4"/>
      <c r="HN21" s="4"/>
      <c r="HO21" s="4"/>
      <c r="HP21" s="4"/>
      <c r="HQ21" s="4"/>
      <c r="HR21" s="4"/>
      <c r="HS21" s="4"/>
      <c r="HT21" s="4"/>
      <c r="HU21" s="4"/>
      <c r="HV21" s="4"/>
      <c r="HW21" s="4"/>
      <c r="HX21" s="4"/>
      <c r="HY21" s="4"/>
      <c r="HZ21" s="4"/>
      <c r="IA21" s="4"/>
      <c r="IB21" s="4"/>
      <c r="IC21" s="4"/>
      <c r="ID21" s="4"/>
    </row>
    <row r="22" spans="1:238" outlineLevel="2">
      <c r="A22" s="110"/>
      <c r="B22" s="110"/>
      <c r="C22" s="110">
        <v>0</v>
      </c>
      <c r="D22" s="3"/>
      <c r="E22" s="174"/>
      <c r="F22" s="174"/>
      <c r="G22" s="174"/>
      <c r="H22" s="174"/>
      <c r="I22" s="174"/>
      <c r="J22" s="174"/>
      <c r="K22" s="174"/>
      <c r="L22" s="174"/>
      <c r="M22" s="175"/>
      <c r="N22" s="175"/>
      <c r="O22" s="174"/>
      <c r="P22" s="176"/>
      <c r="Q22" s="176"/>
      <c r="R22" s="177">
        <v>0</v>
      </c>
      <c r="S22" s="177">
        <v>0</v>
      </c>
      <c r="T22" s="175"/>
      <c r="U22" s="175"/>
      <c r="V22" s="178"/>
      <c r="W22" s="179">
        <v>0</v>
      </c>
      <c r="X22" s="180"/>
      <c r="Y22" s="174"/>
      <c r="Z22" s="181"/>
      <c r="AA22" s="94"/>
      <c r="AB22" s="182"/>
      <c r="AC22" s="116"/>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c r="EK22" s="4"/>
      <c r="EL22" s="4"/>
      <c r="EM22" s="4"/>
      <c r="EN22" s="4"/>
      <c r="EO22" s="4"/>
      <c r="EP22" s="4"/>
      <c r="EQ22" s="4"/>
      <c r="ER22" s="4"/>
      <c r="ES22" s="4"/>
      <c r="ET22" s="4"/>
      <c r="EU22" s="4"/>
      <c r="EV22" s="4"/>
      <c r="EW22" s="4"/>
      <c r="EX22" s="4"/>
      <c r="EY22" s="4"/>
      <c r="EZ22" s="4"/>
      <c r="FA22" s="4"/>
      <c r="FB22" s="4"/>
      <c r="FC22" s="4"/>
      <c r="FD22" s="4"/>
      <c r="FE22" s="4"/>
      <c r="FF22" s="4"/>
      <c r="FG22" s="4"/>
      <c r="FH22" s="4"/>
      <c r="FI22" s="4"/>
      <c r="FJ22" s="4"/>
      <c r="FK22" s="4"/>
      <c r="FL22" s="4"/>
      <c r="FM22" s="4"/>
      <c r="FN22" s="4"/>
      <c r="FO22" s="4"/>
      <c r="FP22" s="4"/>
      <c r="FQ22" s="4"/>
      <c r="FR22" s="4"/>
      <c r="FS22" s="4"/>
      <c r="FT22" s="4"/>
      <c r="FU22" s="4"/>
      <c r="FV22" s="4"/>
      <c r="FW22" s="4"/>
      <c r="FX22" s="4"/>
      <c r="FY22" s="4"/>
      <c r="FZ22" s="4"/>
      <c r="GA22" s="4"/>
      <c r="GB22" s="4"/>
      <c r="GC22" s="4"/>
      <c r="GD22" s="4"/>
      <c r="GE22" s="4"/>
      <c r="GF22" s="4"/>
      <c r="GG22" s="4"/>
      <c r="GH22" s="4"/>
      <c r="GI22" s="4"/>
      <c r="GJ22" s="4"/>
      <c r="GK22" s="4"/>
      <c r="GL22" s="4"/>
      <c r="GM22" s="4"/>
      <c r="GN22" s="4"/>
      <c r="GO22" s="4"/>
      <c r="GP22" s="4"/>
      <c r="GQ22" s="4"/>
      <c r="GR22" s="4"/>
      <c r="GS22" s="4"/>
      <c r="GT22" s="4"/>
      <c r="GU22" s="4"/>
      <c r="GV22" s="4"/>
      <c r="GW22" s="4"/>
      <c r="GX22" s="4"/>
      <c r="GY22" s="4"/>
      <c r="GZ22" s="4"/>
      <c r="HA22" s="4"/>
      <c r="HB22" s="4"/>
      <c r="HC22" s="4"/>
      <c r="HD22" s="4"/>
      <c r="HE22" s="4"/>
      <c r="HF22" s="4"/>
      <c r="HG22" s="4"/>
      <c r="HH22" s="4"/>
      <c r="HI22" s="4"/>
      <c r="HJ22" s="4"/>
      <c r="HK22" s="4"/>
      <c r="HL22" s="4"/>
      <c r="HM22" s="4"/>
      <c r="HN22" s="4"/>
      <c r="HO22" s="4"/>
      <c r="HP22" s="4"/>
      <c r="HQ22" s="4"/>
      <c r="HR22" s="4"/>
      <c r="HS22" s="4"/>
      <c r="HT22" s="4"/>
      <c r="HU22" s="4"/>
      <c r="HV22" s="4"/>
      <c r="HW22" s="4"/>
      <c r="HX22" s="4"/>
      <c r="HY22" s="4"/>
      <c r="HZ22" s="4"/>
      <c r="IA22" s="4"/>
      <c r="IB22" s="4"/>
      <c r="IC22" s="4"/>
      <c r="ID22" s="4"/>
    </row>
    <row r="23" spans="1:238" ht="13.5" outlineLevel="1">
      <c r="A23" s="110"/>
      <c r="B23" s="110" t="s">
        <v>988</v>
      </c>
      <c r="C23" s="110">
        <v>2</v>
      </c>
      <c r="D23" s="3" t="s">
        <v>1087</v>
      </c>
      <c r="E23" s="174"/>
      <c r="F23" s="200" t="s">
        <v>1070</v>
      </c>
      <c r="G23" s="174"/>
      <c r="H23" s="174"/>
      <c r="I23" s="174"/>
      <c r="J23" s="174"/>
      <c r="K23" s="174"/>
      <c r="L23" s="174"/>
      <c r="M23" s="175">
        <v>43525</v>
      </c>
      <c r="N23" s="175">
        <v>43677</v>
      </c>
      <c r="O23" s="174"/>
      <c r="P23" s="176">
        <v>150</v>
      </c>
      <c r="Q23" s="176">
        <v>10</v>
      </c>
      <c r="R23" s="177">
        <v>150</v>
      </c>
      <c r="S23" s="177">
        <v>10</v>
      </c>
      <c r="T23" s="175"/>
      <c r="U23" s="175"/>
      <c r="V23" s="178">
        <v>0</v>
      </c>
      <c r="W23" s="179">
        <v>0</v>
      </c>
      <c r="X23" s="180"/>
      <c r="Y23" s="198" t="s">
        <v>1095</v>
      </c>
      <c r="Z23" s="181"/>
      <c r="AA23" s="94">
        <v>6.6666666666666666E-2</v>
      </c>
      <c r="AB23" s="182">
        <v>0</v>
      </c>
      <c r="AC23" s="116"/>
      <c r="AD23" s="4"/>
      <c r="AE23" s="4" t="str">
        <f>"     " &amp; TEXT(AB23,"#0.00%") &amp; "/" &amp; TEXT(AA23,"#0.00% ") &amp; ""</f>
        <v xml:space="preserve">     0.00%/6.67% </v>
      </c>
      <c r="AF23" s="4"/>
      <c r="AG23" s="4"/>
      <c r="AH23" s="4"/>
      <c r="AI23" s="4"/>
      <c r="AJ23" s="4"/>
      <c r="AK23" s="4"/>
      <c r="AL23" s="4"/>
      <c r="AM23" s="4"/>
      <c r="AN23" s="4"/>
      <c r="AO23" s="4"/>
      <c r="AP23" s="4"/>
      <c r="AQ23" s="4"/>
      <c r="AR23" s="4"/>
      <c r="AS23" s="4"/>
      <c r="AT23" s="4"/>
      <c r="AU23" s="4"/>
      <c r="AV23" s="4"/>
      <c r="AW23" s="4"/>
      <c r="AX23" s="4"/>
      <c r="AY23" s="4"/>
      <c r="AZ23" s="4"/>
      <c r="BA23" s="4" t="str">
        <f>"    " &amp; "영상처리구현" &amp; "(오령기)" &amp; " " &amp; IF(M23="","",TEXT(M23,"M/D-")) &amp; IF(N23="","",TEXT(N23,"M/D")) &amp; " "</f>
        <v xml:space="preserve">    영상처리구현(오령기) 3/1-7/31 </v>
      </c>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c r="ER23" s="4"/>
      <c r="ES23" s="4"/>
      <c r="ET23" s="4"/>
      <c r="EU23" s="4"/>
      <c r="EV23" s="4"/>
      <c r="EW23" s="4"/>
      <c r="EX23" s="4"/>
      <c r="EY23" s="4"/>
      <c r="EZ23" s="4"/>
      <c r="FA23" s="4"/>
      <c r="FB23" s="4"/>
      <c r="FC23" s="4"/>
      <c r="FD23" s="4"/>
      <c r="FE23" s="4"/>
      <c r="FF23" s="4"/>
      <c r="FG23" s="4"/>
      <c r="FH23" s="4"/>
      <c r="FI23" s="4"/>
      <c r="FJ23" s="4"/>
      <c r="FK23" s="4"/>
      <c r="FL23" s="4"/>
      <c r="FM23" s="4"/>
      <c r="FN23" s="4"/>
      <c r="FO23" s="4"/>
      <c r="FP23" s="4"/>
      <c r="FQ23" s="4"/>
      <c r="FR23" s="4"/>
      <c r="FS23" s="4"/>
      <c r="FT23" s="4"/>
      <c r="FU23" s="4"/>
      <c r="FV23" s="4"/>
      <c r="FW23" s="4"/>
      <c r="FX23" s="4"/>
      <c r="FY23" s="4"/>
      <c r="FZ23" s="4"/>
      <c r="GA23" s="4"/>
      <c r="GB23" s="4"/>
      <c r="GC23" s="4"/>
      <c r="GD23" s="4"/>
      <c r="GE23" s="4"/>
      <c r="GF23" s="4"/>
      <c r="GG23" s="4"/>
      <c r="GH23" s="4"/>
      <c r="GI23" s="4"/>
      <c r="GJ23" s="4"/>
      <c r="GK23" s="4"/>
      <c r="GL23" s="4"/>
      <c r="GM23" s="4"/>
      <c r="GN23" s="4"/>
      <c r="GO23" s="4"/>
      <c r="GP23" s="4"/>
      <c r="GQ23" s="4"/>
      <c r="GR23" s="4"/>
      <c r="GS23" s="4"/>
      <c r="GT23" s="4"/>
      <c r="GU23" s="4"/>
      <c r="GV23" s="4"/>
      <c r="GW23" s="4"/>
      <c r="GX23" s="4"/>
      <c r="GY23" s="4"/>
      <c r="GZ23" s="4"/>
      <c r="HA23" s="4"/>
      <c r="HB23" s="4"/>
      <c r="HC23" s="4"/>
      <c r="HD23" s="4"/>
      <c r="HE23" s="4"/>
      <c r="HF23" s="4"/>
      <c r="HG23" s="4"/>
      <c r="HH23" s="4"/>
      <c r="HI23" s="4"/>
      <c r="HJ23" s="4"/>
      <c r="HK23" s="4"/>
      <c r="HL23" s="4"/>
      <c r="HM23" s="4"/>
      <c r="HN23" s="4"/>
      <c r="HO23" s="4"/>
      <c r="HP23" s="4"/>
      <c r="HQ23" s="4"/>
      <c r="HR23" s="4"/>
      <c r="HS23" s="4"/>
      <c r="HT23" s="4"/>
      <c r="HU23" s="4"/>
      <c r="HV23" s="4"/>
      <c r="HW23" s="4"/>
      <c r="HX23" s="4"/>
      <c r="HY23" s="4"/>
      <c r="HZ23" s="4"/>
      <c r="IA23" s="4"/>
      <c r="IB23" s="4"/>
      <c r="IC23" s="4"/>
      <c r="ID23" s="4"/>
    </row>
    <row r="24" spans="1:238" ht="13.5" outlineLevel="2">
      <c r="A24" s="110"/>
      <c r="B24" s="110"/>
      <c r="C24" s="110">
        <v>3</v>
      </c>
      <c r="D24" s="3" t="s">
        <v>1088</v>
      </c>
      <c r="E24" s="174"/>
      <c r="F24" s="174"/>
      <c r="G24" s="205" t="s">
        <v>1073</v>
      </c>
      <c r="H24" s="174"/>
      <c r="I24" s="174"/>
      <c r="J24" s="174"/>
      <c r="K24" s="174"/>
      <c r="L24" s="202" t="s">
        <v>1081</v>
      </c>
      <c r="M24" s="204">
        <v>43525</v>
      </c>
      <c r="N24" s="204">
        <v>43555</v>
      </c>
      <c r="O24" s="174"/>
      <c r="P24" s="176">
        <v>30</v>
      </c>
      <c r="Q24" s="176">
        <v>10</v>
      </c>
      <c r="R24" s="177">
        <v>30</v>
      </c>
      <c r="S24" s="177">
        <v>10</v>
      </c>
      <c r="T24" s="175"/>
      <c r="U24" s="175"/>
      <c r="V24" s="178"/>
      <c r="W24" s="179">
        <v>0</v>
      </c>
      <c r="X24" s="180">
        <v>1</v>
      </c>
      <c r="Y24" s="198" t="s">
        <v>1095</v>
      </c>
      <c r="Z24" s="181"/>
      <c r="AA24" s="94">
        <v>0.33333333333333331</v>
      </c>
      <c r="AB24" s="182">
        <v>0</v>
      </c>
      <c r="AC24" s="116"/>
      <c r="AD24" s="4"/>
      <c r="AE24" s="4" t="str">
        <f>"     " &amp; TEXT(AB24,"#0.00%") &amp; "/" &amp; TEXT(AA24,"#0.00% ") &amp; "" &amp; "학습 및 자료조사" &amp; "(오령기)" &amp; " " &amp; IF(M24="","",TEXT(M24,"M/D-")) &amp; IF(N24="","",TEXT(N24,"M/D")) &amp; " "</f>
        <v xml:space="preserve">     0.00%/33.33% 학습 및 자료조사(오령기) 3/1-3/31 </v>
      </c>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c r="EK24" s="4"/>
      <c r="EL24" s="4"/>
      <c r="EM24" s="4"/>
      <c r="EN24" s="4"/>
      <c r="EO24" s="4"/>
      <c r="EP24" s="4"/>
      <c r="EQ24" s="4"/>
      <c r="ER24" s="4"/>
      <c r="ES24" s="4"/>
      <c r="ET24" s="4"/>
      <c r="EU24" s="4"/>
      <c r="EV24" s="4"/>
      <c r="EW24" s="4"/>
      <c r="EX24" s="4"/>
      <c r="EY24" s="4"/>
      <c r="EZ24" s="4"/>
      <c r="FA24" s="4"/>
      <c r="FB24" s="4"/>
      <c r="FC24" s="4"/>
      <c r="FD24" s="4"/>
      <c r="FE24" s="4"/>
      <c r="FF24" s="4"/>
      <c r="FG24" s="4"/>
      <c r="FH24" s="4"/>
      <c r="FI24" s="4"/>
      <c r="FJ24" s="4"/>
      <c r="FK24" s="4"/>
      <c r="FL24" s="4"/>
      <c r="FM24" s="4"/>
      <c r="FN24" s="4"/>
      <c r="FO24" s="4"/>
      <c r="FP24" s="4"/>
      <c r="FQ24" s="4"/>
      <c r="FR24" s="4"/>
      <c r="FS24" s="4"/>
      <c r="FT24" s="4"/>
      <c r="FU24" s="4"/>
      <c r="FV24" s="4"/>
      <c r="FW24" s="4"/>
      <c r="FX24" s="4"/>
      <c r="FY24" s="4"/>
      <c r="FZ24" s="4"/>
      <c r="GA24" s="4"/>
      <c r="GB24" s="4"/>
      <c r="GC24" s="4"/>
      <c r="GD24" s="4"/>
      <c r="GE24" s="4"/>
      <c r="GF24" s="4"/>
      <c r="GG24" s="4"/>
      <c r="GH24" s="4"/>
      <c r="GI24" s="4"/>
      <c r="GJ24" s="4"/>
      <c r="GK24" s="4"/>
      <c r="GL24" s="4"/>
      <c r="GM24" s="4"/>
      <c r="GN24" s="4"/>
      <c r="GO24" s="4"/>
      <c r="GP24" s="4"/>
      <c r="GQ24" s="4"/>
      <c r="GR24" s="4"/>
      <c r="GS24" s="4"/>
      <c r="GT24" s="4"/>
      <c r="GU24" s="4"/>
      <c r="GV24" s="4"/>
      <c r="GW24" s="4"/>
      <c r="GX24" s="4"/>
      <c r="GY24" s="4"/>
      <c r="GZ24" s="4"/>
      <c r="HA24" s="4"/>
      <c r="HB24" s="4"/>
      <c r="HC24" s="4"/>
      <c r="HD24" s="4"/>
      <c r="HE24" s="4"/>
      <c r="HF24" s="4"/>
      <c r="HG24" s="4"/>
      <c r="HH24" s="4"/>
      <c r="HI24" s="4"/>
      <c r="HJ24" s="4"/>
      <c r="HK24" s="4"/>
      <c r="HL24" s="4"/>
      <c r="HM24" s="4"/>
      <c r="HN24" s="4"/>
      <c r="HO24" s="4"/>
      <c r="HP24" s="4"/>
      <c r="HQ24" s="4"/>
      <c r="HR24" s="4"/>
      <c r="HS24" s="4"/>
      <c r="HT24" s="4"/>
      <c r="HU24" s="4"/>
      <c r="HV24" s="4"/>
      <c r="HW24" s="4"/>
      <c r="HX24" s="4"/>
      <c r="HY24" s="4"/>
      <c r="HZ24" s="4"/>
      <c r="IA24" s="4"/>
      <c r="IB24" s="4"/>
      <c r="IC24" s="4"/>
      <c r="ID24" s="4"/>
    </row>
    <row r="25" spans="1:238" ht="13.5" outlineLevel="2">
      <c r="A25" s="110"/>
      <c r="B25" s="110"/>
      <c r="C25" s="110">
        <v>3</v>
      </c>
      <c r="D25" s="3" t="s">
        <v>1089</v>
      </c>
      <c r="E25" s="174"/>
      <c r="F25" s="174"/>
      <c r="G25" s="205" t="s">
        <v>1079</v>
      </c>
      <c r="H25" s="174"/>
      <c r="I25" s="174"/>
      <c r="J25" s="174"/>
      <c r="K25" s="174"/>
      <c r="L25" s="174"/>
      <c r="M25" s="204">
        <v>43556</v>
      </c>
      <c r="N25" s="204">
        <v>43569</v>
      </c>
      <c r="O25" s="174"/>
      <c r="P25" s="176">
        <v>14</v>
      </c>
      <c r="Q25" s="176">
        <v>0</v>
      </c>
      <c r="R25" s="177">
        <v>14</v>
      </c>
      <c r="S25" s="177">
        <v>0</v>
      </c>
      <c r="T25" s="175"/>
      <c r="U25" s="175"/>
      <c r="V25" s="178"/>
      <c r="W25" s="179">
        <v>0</v>
      </c>
      <c r="X25" s="180">
        <v>1</v>
      </c>
      <c r="Y25" s="198" t="s">
        <v>1095</v>
      </c>
      <c r="Z25" s="181"/>
      <c r="AA25" s="94">
        <v>0</v>
      </c>
      <c r="AB25" s="182">
        <v>0</v>
      </c>
      <c r="AC25" s="116"/>
      <c r="AD25" s="4"/>
      <c r="AE25" s="4"/>
      <c r="AF25" s="4"/>
      <c r="AG25" s="4"/>
      <c r="AH25" s="4"/>
      <c r="AI25" s="4"/>
      <c r="AJ25" s="4" t="str">
        <f>" " &amp; TEXT(AB25,"#0.00%") &amp; "/" &amp; TEXT(AA25,"#0.00% ") &amp; "" &amp; "그래픽 환경에서 자동차 및 장애물, 주차공간 인식 프로그램 개발" &amp; "(오령기)" &amp; " " &amp; IF(M25="","",TEXT(M25,"M/D-")) &amp; IF(N25="","",TEXT(N25,"M/D")) &amp; " "</f>
        <v xml:space="preserve"> 0.00%/0.00% 그래픽 환경에서 자동차 및 장애물, 주차공간 인식 프로그램 개발(오령기) 4/1-4/14 </v>
      </c>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c r="ER25" s="4"/>
      <c r="ES25" s="4"/>
      <c r="ET25" s="4"/>
      <c r="EU25" s="4"/>
      <c r="EV25" s="4"/>
      <c r="EW25" s="4"/>
      <c r="EX25" s="4"/>
      <c r="EY25" s="4"/>
      <c r="EZ25" s="4"/>
      <c r="FA25" s="4"/>
      <c r="FB25" s="4"/>
      <c r="FC25" s="4"/>
      <c r="FD25" s="4"/>
      <c r="FE25" s="4"/>
      <c r="FF25" s="4"/>
      <c r="FG25" s="4"/>
      <c r="FH25" s="4"/>
      <c r="FI25" s="4"/>
      <c r="FJ25" s="4"/>
      <c r="FK25" s="4"/>
      <c r="FL25" s="4"/>
      <c r="FM25" s="4"/>
      <c r="FN25" s="4"/>
      <c r="FO25" s="4"/>
      <c r="FP25" s="4"/>
      <c r="FQ25" s="4"/>
      <c r="FR25" s="4"/>
      <c r="FS25" s="4"/>
      <c r="FT25" s="4"/>
      <c r="FU25" s="4"/>
      <c r="FV25" s="4"/>
      <c r="FW25" s="4"/>
      <c r="FX25" s="4"/>
      <c r="FY25" s="4"/>
      <c r="FZ25" s="4"/>
      <c r="GA25" s="4"/>
      <c r="GB25" s="4"/>
      <c r="GC25" s="4"/>
      <c r="GD25" s="4"/>
      <c r="GE25" s="4"/>
      <c r="GF25" s="4"/>
      <c r="GG25" s="4"/>
      <c r="GH25" s="4"/>
      <c r="GI25" s="4"/>
      <c r="GJ25" s="4"/>
      <c r="GK25" s="4"/>
      <c r="GL25" s="4"/>
      <c r="GM25" s="4"/>
      <c r="GN25" s="4"/>
      <c r="GO25" s="4"/>
      <c r="GP25" s="4"/>
      <c r="GQ25" s="4"/>
      <c r="GR25" s="4"/>
      <c r="GS25" s="4"/>
      <c r="GT25" s="4"/>
      <c r="GU25" s="4"/>
      <c r="GV25" s="4"/>
      <c r="GW25" s="4"/>
      <c r="GX25" s="4"/>
      <c r="GY25" s="4"/>
      <c r="GZ25" s="4"/>
      <c r="HA25" s="4"/>
      <c r="HB25" s="4"/>
      <c r="HC25" s="4"/>
      <c r="HD25" s="4"/>
      <c r="HE25" s="4"/>
      <c r="HF25" s="4"/>
      <c r="HG25" s="4"/>
      <c r="HH25" s="4"/>
      <c r="HI25" s="4"/>
      <c r="HJ25" s="4"/>
      <c r="HK25" s="4"/>
      <c r="HL25" s="4"/>
      <c r="HM25" s="4"/>
      <c r="HN25" s="4"/>
      <c r="HO25" s="4"/>
      <c r="HP25" s="4"/>
      <c r="HQ25" s="4"/>
      <c r="HR25" s="4"/>
      <c r="HS25" s="4"/>
      <c r="HT25" s="4"/>
      <c r="HU25" s="4"/>
      <c r="HV25" s="4"/>
      <c r="HW25" s="4"/>
      <c r="HX25" s="4"/>
      <c r="HY25" s="4"/>
      <c r="HZ25" s="4"/>
      <c r="IA25" s="4"/>
      <c r="IB25" s="4"/>
      <c r="IC25" s="4"/>
      <c r="ID25" s="4"/>
    </row>
    <row r="26" spans="1:238" ht="13.5" outlineLevel="2">
      <c r="A26" s="110"/>
      <c r="B26" s="110"/>
      <c r="C26" s="110">
        <v>3</v>
      </c>
      <c r="D26" s="3" t="s">
        <v>1090</v>
      </c>
      <c r="E26" s="174"/>
      <c r="F26" s="174"/>
      <c r="G26" s="205" t="s">
        <v>1073</v>
      </c>
      <c r="H26" s="174"/>
      <c r="I26" s="174"/>
      <c r="J26" s="174"/>
      <c r="K26" s="174"/>
      <c r="L26" s="202" t="s">
        <v>1082</v>
      </c>
      <c r="M26" s="204">
        <v>43570</v>
      </c>
      <c r="N26" s="204">
        <v>43590</v>
      </c>
      <c r="O26" s="174"/>
      <c r="P26" s="176">
        <v>21</v>
      </c>
      <c r="Q26" s="176">
        <v>0</v>
      </c>
      <c r="R26" s="177">
        <v>21</v>
      </c>
      <c r="S26" s="177">
        <v>0</v>
      </c>
      <c r="T26" s="175"/>
      <c r="U26" s="175"/>
      <c r="V26" s="178"/>
      <c r="W26" s="179">
        <v>0</v>
      </c>
      <c r="X26" s="180">
        <v>1</v>
      </c>
      <c r="Y26" s="198" t="s">
        <v>1095</v>
      </c>
      <c r="Z26" s="181"/>
      <c r="AA26" s="94">
        <v>0</v>
      </c>
      <c r="AB26" s="182">
        <v>0</v>
      </c>
      <c r="AC26" s="116"/>
      <c r="AD26" s="4"/>
      <c r="AE26" s="4"/>
      <c r="AF26" s="4"/>
      <c r="AG26" s="4"/>
      <c r="AH26" s="4"/>
      <c r="AI26" s="4"/>
      <c r="AJ26" s="4"/>
      <c r="AK26" s="4"/>
      <c r="AL26" s="4" t="str">
        <f>" " &amp; TEXT(AB26,"#0.00%") &amp; "/" &amp; TEXT(AA26,"#0.00% ") &amp; "" &amp; "학습 및 자료조사" &amp; "(오령기)" &amp; " " &amp; IF(M26="","",TEXT(M26,"M/D-")) &amp; IF(N26="","",TEXT(N26,"M/D")) &amp; " "</f>
        <v xml:space="preserve"> 0.00%/0.00% 학습 및 자료조사(오령기) 4/15-5/5 </v>
      </c>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c r="ER26" s="4"/>
      <c r="ES26" s="4"/>
      <c r="ET26" s="4"/>
      <c r="EU26" s="4"/>
      <c r="EV26" s="4"/>
      <c r="EW26" s="4"/>
      <c r="EX26" s="4"/>
      <c r="EY26" s="4"/>
      <c r="EZ26" s="4"/>
      <c r="FA26" s="4"/>
      <c r="FB26" s="4"/>
      <c r="FC26" s="4"/>
      <c r="FD26" s="4"/>
      <c r="FE26" s="4"/>
      <c r="FF26" s="4"/>
      <c r="FG26" s="4"/>
      <c r="FH26" s="4"/>
      <c r="FI26" s="4"/>
      <c r="FJ26" s="4"/>
      <c r="FK26" s="4"/>
      <c r="FL26" s="4"/>
      <c r="FM26" s="4"/>
      <c r="FN26" s="4"/>
      <c r="FO26" s="4"/>
      <c r="FP26" s="4"/>
      <c r="FQ26" s="4"/>
      <c r="FR26" s="4"/>
      <c r="FS26" s="4"/>
      <c r="FT26" s="4"/>
      <c r="FU26" s="4"/>
      <c r="FV26" s="4"/>
      <c r="FW26" s="4"/>
      <c r="FX26" s="4"/>
      <c r="FY26" s="4"/>
      <c r="FZ26" s="4"/>
      <c r="GA26" s="4"/>
      <c r="GB26" s="4"/>
      <c r="GC26" s="4"/>
      <c r="GD26" s="4"/>
      <c r="GE26" s="4"/>
      <c r="GF26" s="4"/>
      <c r="GG26" s="4"/>
      <c r="GH26" s="4"/>
      <c r="GI26" s="4"/>
      <c r="GJ26" s="4"/>
      <c r="GK26" s="4"/>
      <c r="GL26" s="4"/>
      <c r="GM26" s="4"/>
      <c r="GN26" s="4"/>
      <c r="GO26" s="4"/>
      <c r="GP26" s="4"/>
      <c r="GQ26" s="4"/>
      <c r="GR26" s="4"/>
      <c r="GS26" s="4"/>
      <c r="GT26" s="4"/>
      <c r="GU26" s="4"/>
      <c r="GV26" s="4"/>
      <c r="GW26" s="4"/>
      <c r="GX26" s="4"/>
      <c r="GY26" s="4"/>
      <c r="GZ26" s="4"/>
      <c r="HA26" s="4"/>
      <c r="HB26" s="4"/>
      <c r="HC26" s="4"/>
      <c r="HD26" s="4"/>
      <c r="HE26" s="4"/>
      <c r="HF26" s="4"/>
      <c r="HG26" s="4"/>
      <c r="HH26" s="4"/>
      <c r="HI26" s="4"/>
      <c r="HJ26" s="4"/>
      <c r="HK26" s="4"/>
      <c r="HL26" s="4"/>
      <c r="HM26" s="4"/>
      <c r="HN26" s="4"/>
      <c r="HO26" s="4"/>
      <c r="HP26" s="4"/>
      <c r="HQ26" s="4"/>
      <c r="HR26" s="4"/>
      <c r="HS26" s="4"/>
      <c r="HT26" s="4"/>
      <c r="HU26" s="4"/>
      <c r="HV26" s="4"/>
      <c r="HW26" s="4"/>
      <c r="HX26" s="4"/>
      <c r="HY26" s="4"/>
      <c r="HZ26" s="4"/>
      <c r="IA26" s="4"/>
      <c r="IB26" s="4"/>
      <c r="IC26" s="4"/>
      <c r="ID26" s="4"/>
    </row>
    <row r="27" spans="1:238" ht="13.5" outlineLevel="2">
      <c r="A27" s="110"/>
      <c r="B27" s="110"/>
      <c r="C27" s="110">
        <v>3</v>
      </c>
      <c r="D27" s="3" t="s">
        <v>1091</v>
      </c>
      <c r="E27" s="174"/>
      <c r="F27" s="174"/>
      <c r="G27" s="205" t="s">
        <v>1080</v>
      </c>
      <c r="H27" s="174"/>
      <c r="I27" s="174"/>
      <c r="J27" s="174"/>
      <c r="K27" s="174"/>
      <c r="L27" s="203" t="s">
        <v>1083</v>
      </c>
      <c r="M27" s="204">
        <v>43591</v>
      </c>
      <c r="N27" s="204">
        <v>43677</v>
      </c>
      <c r="O27" s="174"/>
      <c r="P27" s="176">
        <v>85</v>
      </c>
      <c r="Q27" s="176">
        <v>0</v>
      </c>
      <c r="R27" s="177">
        <v>85</v>
      </c>
      <c r="S27" s="177">
        <v>0</v>
      </c>
      <c r="T27" s="175"/>
      <c r="U27" s="175"/>
      <c r="V27" s="178"/>
      <c r="W27" s="179">
        <v>0</v>
      </c>
      <c r="X27" s="180">
        <v>1</v>
      </c>
      <c r="Y27" s="198" t="s">
        <v>1095</v>
      </c>
      <c r="Z27" s="181"/>
      <c r="AA27" s="94">
        <v>0</v>
      </c>
      <c r="AB27" s="182">
        <v>0</v>
      </c>
      <c r="AC27" s="116"/>
      <c r="AD27" s="4"/>
      <c r="AE27" s="4"/>
      <c r="AF27" s="4"/>
      <c r="AG27" s="4"/>
      <c r="AH27" s="4"/>
      <c r="AI27" s="4"/>
      <c r="AJ27" s="4"/>
      <c r="AK27" s="4"/>
      <c r="AL27" s="4"/>
      <c r="AM27" s="4"/>
      <c r="AN27" s="4"/>
      <c r="AO27" s="4" t="str">
        <f>" " &amp; TEXT(AB27,"#0.00%") &amp; "/" &amp; TEXT(AA27,"#0.00% ") &amp; ""</f>
        <v xml:space="preserve"> 0.00%/0.00% </v>
      </c>
      <c r="AP27" s="4"/>
      <c r="AQ27" s="4"/>
      <c r="AR27" s="4"/>
      <c r="AS27" s="4"/>
      <c r="AT27" s="4"/>
      <c r="AU27" s="4"/>
      <c r="AV27" s="4"/>
      <c r="AW27" s="4"/>
      <c r="AX27" s="4"/>
      <c r="AY27" s="4"/>
      <c r="AZ27" s="4"/>
      <c r="BA27" s="4" t="str">
        <f>"    " &amp; "어라운드뷰 영상에서 자동차 및 장애물, 주차공간 인식 프로그램 개발" &amp; "(오령기)" &amp; " " &amp; IF(M27="","",TEXT(M27,"M/D-")) &amp; IF(N27="","",TEXT(N27,"M/D")) &amp; " "</f>
        <v xml:space="preserve">    어라운드뷰 영상에서 자동차 및 장애물, 주차공간 인식 프로그램 개발(오령기) 5/6-7/31 </v>
      </c>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c r="ER27" s="4"/>
      <c r="ES27" s="4"/>
      <c r="ET27" s="4"/>
      <c r="EU27" s="4"/>
      <c r="EV27" s="4"/>
      <c r="EW27" s="4"/>
      <c r="EX27" s="4"/>
      <c r="EY27" s="4"/>
      <c r="EZ27" s="4"/>
      <c r="FA27" s="4"/>
      <c r="FB27" s="4"/>
      <c r="FC27" s="4"/>
      <c r="FD27" s="4"/>
      <c r="FE27" s="4"/>
      <c r="FF27" s="4"/>
      <c r="FG27" s="4"/>
      <c r="FH27" s="4"/>
      <c r="FI27" s="4"/>
      <c r="FJ27" s="4"/>
      <c r="FK27" s="4"/>
      <c r="FL27" s="4"/>
      <c r="FM27" s="4"/>
      <c r="FN27" s="4"/>
      <c r="FO27" s="4"/>
      <c r="FP27" s="4"/>
      <c r="FQ27" s="4"/>
      <c r="FR27" s="4"/>
      <c r="FS27" s="4"/>
      <c r="FT27" s="4"/>
      <c r="FU27" s="4"/>
      <c r="FV27" s="4"/>
      <c r="FW27" s="4"/>
      <c r="FX27" s="4"/>
      <c r="FY27" s="4"/>
      <c r="FZ27" s="4"/>
      <c r="GA27" s="4"/>
      <c r="GB27" s="4"/>
      <c r="GC27" s="4"/>
      <c r="GD27" s="4"/>
      <c r="GE27" s="4"/>
      <c r="GF27" s="4"/>
      <c r="GG27" s="4"/>
      <c r="GH27" s="4"/>
      <c r="GI27" s="4"/>
      <c r="GJ27" s="4"/>
      <c r="GK27" s="4"/>
      <c r="GL27" s="4"/>
      <c r="GM27" s="4"/>
      <c r="GN27" s="4"/>
      <c r="GO27" s="4"/>
      <c r="GP27" s="4"/>
      <c r="GQ27" s="4"/>
      <c r="GR27" s="4"/>
      <c r="GS27" s="4"/>
      <c r="GT27" s="4"/>
      <c r="GU27" s="4"/>
      <c r="GV27" s="4"/>
      <c r="GW27" s="4"/>
      <c r="GX27" s="4"/>
      <c r="GY27" s="4"/>
      <c r="GZ27" s="4"/>
      <c r="HA27" s="4"/>
      <c r="HB27" s="4"/>
      <c r="HC27" s="4"/>
      <c r="HD27" s="4"/>
      <c r="HE27" s="4"/>
      <c r="HF27" s="4"/>
      <c r="HG27" s="4"/>
      <c r="HH27" s="4"/>
      <c r="HI27" s="4"/>
      <c r="HJ27" s="4"/>
      <c r="HK27" s="4"/>
      <c r="HL27" s="4"/>
      <c r="HM27" s="4"/>
      <c r="HN27" s="4"/>
      <c r="HO27" s="4"/>
      <c r="HP27" s="4"/>
      <c r="HQ27" s="4"/>
      <c r="HR27" s="4"/>
      <c r="HS27" s="4"/>
      <c r="HT27" s="4"/>
      <c r="HU27" s="4"/>
      <c r="HV27" s="4"/>
      <c r="HW27" s="4"/>
      <c r="HX27" s="4"/>
      <c r="HY27" s="4"/>
      <c r="HZ27" s="4"/>
      <c r="IA27" s="4"/>
      <c r="IB27" s="4"/>
      <c r="IC27" s="4"/>
      <c r="ID27" s="4"/>
    </row>
    <row r="28" spans="1:238">
      <c r="A28" s="183"/>
      <c r="B28" s="183" t="s">
        <v>988</v>
      </c>
      <c r="C28" s="183">
        <v>2</v>
      </c>
      <c r="D28" s="184"/>
      <c r="E28" s="185"/>
      <c r="F28" s="185"/>
      <c r="G28" s="185"/>
      <c r="H28" s="185"/>
      <c r="I28" s="185"/>
      <c r="J28" s="185"/>
      <c r="K28" s="185"/>
      <c r="L28" s="185"/>
      <c r="M28" s="186"/>
      <c r="N28" s="186"/>
      <c r="O28" s="185"/>
      <c r="P28" s="187"/>
      <c r="Q28" s="187"/>
      <c r="R28" s="188"/>
      <c r="S28" s="188"/>
      <c r="T28" s="186"/>
      <c r="U28" s="186"/>
      <c r="V28" s="189"/>
      <c r="W28" s="190"/>
      <c r="X28" s="191"/>
      <c r="Y28" s="185"/>
      <c r="Z28" s="192"/>
      <c r="AA28" s="193"/>
      <c r="AB28" s="194"/>
      <c r="AC28" s="172"/>
      <c r="AD28" s="172"/>
      <c r="AE28" s="172"/>
      <c r="AF28" s="172"/>
      <c r="AG28" s="172"/>
      <c r="AH28" s="172"/>
      <c r="AI28" s="172"/>
      <c r="AJ28" s="172"/>
      <c r="AK28" s="172"/>
      <c r="AL28" s="172"/>
      <c r="AM28" s="172"/>
      <c r="AN28" s="172"/>
      <c r="AO28" s="172"/>
      <c r="AP28" s="172"/>
      <c r="AQ28" s="172"/>
      <c r="AR28" s="172"/>
      <c r="AS28" s="172"/>
      <c r="AT28" s="172"/>
      <c r="AU28" s="172"/>
      <c r="AV28" s="172"/>
      <c r="AW28" s="172"/>
      <c r="AX28" s="172"/>
      <c r="AY28" s="172"/>
      <c r="AZ28" s="172"/>
      <c r="BA28" s="172"/>
      <c r="BB28" s="172"/>
      <c r="BC28" s="172"/>
      <c r="BD28" s="172"/>
      <c r="BE28" s="172"/>
      <c r="BF28" s="172"/>
      <c r="BG28" s="172"/>
      <c r="BH28" s="172"/>
      <c r="BI28" s="172"/>
      <c r="BJ28" s="172"/>
      <c r="BK28" s="172"/>
      <c r="BL28" s="172"/>
      <c r="BM28" s="172"/>
      <c r="BN28" s="172"/>
      <c r="BO28" s="172"/>
      <c r="BP28" s="172"/>
      <c r="BQ28" s="172"/>
      <c r="BR28" s="172"/>
      <c r="BS28" s="172"/>
      <c r="BT28" s="172"/>
      <c r="BU28" s="172"/>
      <c r="BV28" s="172"/>
      <c r="BW28" s="172"/>
      <c r="BX28" s="172"/>
      <c r="BY28" s="172"/>
      <c r="BZ28" s="172"/>
      <c r="CA28" s="172"/>
      <c r="CB28" s="172"/>
      <c r="CC28" s="172"/>
      <c r="CD28" s="172"/>
      <c r="CE28" s="172"/>
      <c r="CF28" s="172"/>
      <c r="CG28" s="172"/>
      <c r="CH28" s="172"/>
      <c r="CI28" s="172"/>
      <c r="CJ28" s="172"/>
      <c r="CK28" s="172"/>
      <c r="CL28" s="172"/>
      <c r="CM28" s="172"/>
      <c r="CN28" s="172"/>
      <c r="CO28" s="172"/>
      <c r="CP28" s="172"/>
      <c r="CQ28" s="172"/>
      <c r="CR28" s="172"/>
      <c r="CS28" s="172"/>
      <c r="CT28" s="172"/>
      <c r="CU28" s="172"/>
      <c r="CV28" s="172"/>
      <c r="CW28" s="172"/>
      <c r="CX28" s="172"/>
      <c r="CY28" s="172"/>
      <c r="CZ28" s="172"/>
      <c r="DA28" s="172"/>
      <c r="DB28" s="172"/>
      <c r="DC28" s="172"/>
      <c r="DD28" s="172"/>
      <c r="DE28" s="172"/>
      <c r="DF28" s="172"/>
      <c r="DG28" s="172"/>
      <c r="DH28" s="172"/>
      <c r="DI28" s="172"/>
      <c r="DJ28" s="172"/>
      <c r="DK28" s="172"/>
      <c r="DL28" s="172"/>
      <c r="DM28" s="172"/>
      <c r="DN28" s="172"/>
      <c r="DO28" s="172"/>
      <c r="DP28" s="172"/>
      <c r="DQ28" s="172"/>
      <c r="DR28" s="172"/>
      <c r="DS28" s="172"/>
      <c r="DT28" s="172"/>
      <c r="DU28" s="172"/>
      <c r="DV28" s="172"/>
      <c r="DW28" s="172"/>
      <c r="DX28" s="172"/>
      <c r="DY28" s="172"/>
      <c r="DZ28" s="172"/>
      <c r="EA28" s="172"/>
      <c r="EB28" s="172"/>
      <c r="EC28" s="172"/>
      <c r="ED28" s="172"/>
      <c r="EE28" s="172"/>
      <c r="EF28" s="172"/>
      <c r="EG28" s="172"/>
      <c r="EH28" s="172"/>
      <c r="EI28" s="172"/>
      <c r="EJ28" s="172"/>
      <c r="EK28" s="172"/>
      <c r="EL28" s="172"/>
      <c r="EM28" s="172"/>
      <c r="EN28" s="172"/>
      <c r="EO28" s="172"/>
      <c r="EP28" s="172"/>
      <c r="EQ28" s="172"/>
      <c r="ER28" s="172"/>
      <c r="ES28" s="172"/>
      <c r="ET28" s="172"/>
      <c r="EU28" s="172"/>
      <c r="EV28" s="172"/>
      <c r="EW28" s="172"/>
      <c r="EX28" s="172"/>
      <c r="EY28" s="172"/>
      <c r="EZ28" s="172"/>
      <c r="FA28" s="172"/>
      <c r="FB28" s="172"/>
      <c r="FC28" s="172"/>
      <c r="FD28" s="172"/>
      <c r="FE28" s="172"/>
      <c r="FF28" s="172"/>
      <c r="FG28" s="172"/>
      <c r="FH28" s="172"/>
      <c r="FI28" s="172"/>
      <c r="FJ28" s="172"/>
      <c r="FK28" s="172"/>
      <c r="FL28" s="172"/>
      <c r="FM28" s="172"/>
      <c r="FN28" s="172"/>
      <c r="FO28" s="172"/>
      <c r="FP28" s="172"/>
      <c r="FQ28" s="172"/>
      <c r="FR28" s="172"/>
      <c r="FS28" s="172"/>
      <c r="FT28" s="172"/>
      <c r="FU28" s="172"/>
      <c r="FV28" s="172"/>
      <c r="FW28" s="172"/>
      <c r="FX28" s="172"/>
      <c r="FY28" s="172"/>
      <c r="FZ28" s="172"/>
      <c r="GA28" s="172"/>
      <c r="GB28" s="172"/>
      <c r="GC28" s="172"/>
      <c r="GD28" s="172"/>
      <c r="GE28" s="172"/>
      <c r="GF28" s="172"/>
      <c r="GG28" s="172"/>
      <c r="GH28" s="172"/>
      <c r="GI28" s="172"/>
      <c r="GJ28" s="172"/>
      <c r="GK28" s="172"/>
      <c r="GL28" s="172"/>
      <c r="GM28" s="172"/>
      <c r="GN28" s="172"/>
      <c r="GO28" s="172"/>
      <c r="GP28" s="172"/>
      <c r="GQ28" s="172"/>
      <c r="GR28" s="172"/>
      <c r="GS28" s="172"/>
      <c r="GT28" s="172"/>
      <c r="GU28" s="172"/>
      <c r="GV28" s="172"/>
      <c r="GW28" s="172"/>
      <c r="GX28" s="172"/>
      <c r="GY28" s="172"/>
      <c r="GZ28" s="172"/>
      <c r="HA28" s="172"/>
      <c r="HB28" s="172"/>
      <c r="HC28" s="172"/>
      <c r="HD28" s="172"/>
      <c r="HE28" s="172"/>
      <c r="HF28" s="172"/>
      <c r="HG28" s="172"/>
      <c r="HH28" s="172"/>
      <c r="HI28" s="172"/>
      <c r="HJ28" s="172"/>
      <c r="HK28" s="172"/>
      <c r="HL28" s="172"/>
      <c r="HM28" s="172"/>
      <c r="HN28" s="172"/>
      <c r="HO28" s="172"/>
      <c r="HP28" s="172"/>
      <c r="HQ28" s="172"/>
      <c r="HR28" s="172"/>
      <c r="HS28" s="172"/>
      <c r="HT28" s="172"/>
      <c r="HU28" s="172"/>
      <c r="HV28" s="172"/>
      <c r="HW28" s="172"/>
      <c r="HX28" s="172"/>
      <c r="HY28" s="172"/>
      <c r="HZ28" s="172"/>
      <c r="IA28" s="172"/>
      <c r="IB28" s="172"/>
      <c r="IC28" s="172"/>
      <c r="ID28" s="172"/>
    </row>
    <row r="29" spans="1:238">
      <c r="A29" s="110"/>
      <c r="B29" s="110"/>
      <c r="C29" s="110">
        <v>3</v>
      </c>
      <c r="D29" s="3"/>
      <c r="E29" s="174"/>
      <c r="F29" s="174"/>
      <c r="G29" s="174"/>
      <c r="H29" s="174"/>
      <c r="I29" s="174"/>
      <c r="J29" s="174"/>
      <c r="K29" s="174"/>
      <c r="L29" s="174"/>
      <c r="M29" s="175"/>
      <c r="N29" s="175"/>
      <c r="O29" s="174"/>
      <c r="P29" s="176"/>
      <c r="Q29" s="176"/>
      <c r="R29" s="177"/>
      <c r="S29" s="177"/>
      <c r="T29" s="175"/>
      <c r="U29" s="175"/>
      <c r="V29" s="178"/>
      <c r="W29" s="179"/>
      <c r="X29" s="180"/>
      <c r="Y29" s="174"/>
      <c r="Z29" s="181"/>
      <c r="AA29" s="94"/>
      <c r="AB29" s="182"/>
    </row>
    <row r="30" spans="1:238">
      <c r="A30" s="110"/>
      <c r="B30" s="110" t="s">
        <v>988</v>
      </c>
      <c r="C30" s="110">
        <v>3</v>
      </c>
      <c r="D30" s="3"/>
      <c r="E30" s="174"/>
      <c r="F30" s="174"/>
      <c r="G30" s="174"/>
      <c r="H30" s="174"/>
      <c r="I30" s="174"/>
      <c r="J30" s="174"/>
      <c r="K30" s="174"/>
      <c r="L30" s="174"/>
      <c r="M30" s="175"/>
      <c r="N30" s="175"/>
      <c r="O30" s="174"/>
      <c r="P30" s="176"/>
      <c r="Q30" s="176"/>
      <c r="R30" s="177"/>
      <c r="S30" s="177"/>
      <c r="T30" s="175"/>
      <c r="U30" s="175"/>
      <c r="V30" s="178"/>
      <c r="W30" s="179"/>
      <c r="X30" s="180"/>
      <c r="Y30" s="174"/>
      <c r="Z30" s="181"/>
      <c r="AA30" s="94"/>
      <c r="AB30" s="182"/>
    </row>
    <row r="31" spans="1:238">
      <c r="A31" s="110"/>
      <c r="B31" s="110"/>
      <c r="C31" s="110">
        <v>4</v>
      </c>
      <c r="D31" s="3"/>
      <c r="E31" s="174"/>
      <c r="F31" s="174"/>
      <c r="G31" s="174"/>
      <c r="H31" s="174"/>
      <c r="I31" s="174"/>
      <c r="J31" s="174"/>
      <c r="K31" s="174"/>
      <c r="L31" s="174"/>
      <c r="M31" s="175"/>
      <c r="N31" s="175"/>
      <c r="O31" s="174"/>
      <c r="P31" s="176"/>
      <c r="Q31" s="176"/>
      <c r="R31" s="177"/>
      <c r="S31" s="177"/>
      <c r="T31" s="175"/>
      <c r="U31" s="175"/>
      <c r="V31" s="178"/>
      <c r="W31" s="179"/>
      <c r="X31" s="180"/>
      <c r="Y31" s="174"/>
      <c r="Z31" s="181"/>
      <c r="AA31" s="94"/>
      <c r="AB31" s="182"/>
    </row>
    <row r="32" spans="1:238">
      <c r="A32" s="110"/>
      <c r="B32" s="110"/>
      <c r="C32" s="110">
        <v>4</v>
      </c>
      <c r="D32" s="3"/>
      <c r="E32" s="174"/>
      <c r="F32" s="174"/>
      <c r="G32" s="174"/>
      <c r="H32" s="174"/>
      <c r="I32" s="174"/>
      <c r="J32" s="174"/>
      <c r="K32" s="174"/>
      <c r="L32" s="174"/>
      <c r="M32" s="175"/>
      <c r="N32" s="175"/>
      <c r="O32" s="174"/>
      <c r="P32" s="176"/>
      <c r="Q32" s="176"/>
      <c r="R32" s="177"/>
      <c r="S32" s="177"/>
      <c r="T32" s="175"/>
      <c r="U32" s="175"/>
      <c r="V32" s="178"/>
      <c r="W32" s="179"/>
      <c r="X32" s="180"/>
      <c r="Y32" s="174"/>
      <c r="Z32" s="181"/>
      <c r="AA32" s="94"/>
      <c r="AB32" s="182"/>
    </row>
    <row r="33" spans="1:28">
      <c r="A33" s="110"/>
      <c r="B33" s="110"/>
      <c r="C33" s="110">
        <v>4</v>
      </c>
      <c r="D33" s="3"/>
      <c r="E33" s="174"/>
      <c r="F33" s="174"/>
      <c r="G33" s="174"/>
      <c r="H33" s="174"/>
      <c r="I33" s="174"/>
      <c r="J33" s="174"/>
      <c r="K33" s="174"/>
      <c r="L33" s="174"/>
      <c r="M33" s="175"/>
      <c r="N33" s="175"/>
      <c r="O33" s="174"/>
      <c r="P33" s="176"/>
      <c r="Q33" s="176"/>
      <c r="R33" s="177"/>
      <c r="S33" s="177"/>
      <c r="T33" s="175"/>
      <c r="U33" s="175"/>
      <c r="V33" s="178"/>
      <c r="W33" s="179"/>
      <c r="X33" s="180"/>
      <c r="Y33" s="174"/>
      <c r="Z33" s="181"/>
      <c r="AA33" s="94"/>
      <c r="AB33" s="182"/>
    </row>
    <row r="34" spans="1:28">
      <c r="A34" s="110"/>
      <c r="B34" s="110"/>
      <c r="C34" s="110">
        <v>3</v>
      </c>
      <c r="D34" s="3"/>
      <c r="E34" s="174"/>
      <c r="F34" s="174"/>
      <c r="G34" s="174"/>
      <c r="H34" s="174"/>
      <c r="I34" s="174"/>
      <c r="J34" s="174"/>
      <c r="K34" s="174"/>
      <c r="L34" s="174"/>
      <c r="M34" s="175"/>
      <c r="N34" s="175"/>
      <c r="O34" s="174"/>
      <c r="P34" s="176"/>
      <c r="Q34" s="176"/>
      <c r="R34" s="177"/>
      <c r="S34" s="177"/>
      <c r="T34" s="175"/>
      <c r="U34" s="175"/>
      <c r="V34" s="178"/>
      <c r="W34" s="179"/>
      <c r="X34" s="180"/>
      <c r="Y34" s="174"/>
      <c r="Z34" s="181"/>
      <c r="AA34" s="94"/>
      <c r="AB34" s="182"/>
    </row>
    <row r="35" spans="1:28">
      <c r="A35" s="110"/>
      <c r="B35" s="110" t="s">
        <v>988</v>
      </c>
      <c r="C35" s="110">
        <v>2</v>
      </c>
      <c r="D35" s="3"/>
      <c r="E35" s="174"/>
      <c r="F35" s="174"/>
      <c r="G35" s="174"/>
      <c r="H35" s="174"/>
      <c r="I35" s="174"/>
      <c r="J35" s="174"/>
      <c r="K35" s="174"/>
      <c r="L35" s="174"/>
      <c r="M35" s="175"/>
      <c r="N35" s="175"/>
      <c r="O35" s="174"/>
      <c r="P35" s="176"/>
      <c r="Q35" s="176"/>
      <c r="R35" s="177"/>
      <c r="S35" s="177"/>
      <c r="T35" s="175"/>
      <c r="U35" s="175"/>
      <c r="V35" s="178"/>
      <c r="W35" s="179"/>
      <c r="X35" s="180"/>
      <c r="Y35" s="174"/>
      <c r="Z35" s="181"/>
      <c r="AA35" s="94"/>
      <c r="AB35" s="182"/>
    </row>
    <row r="36" spans="1:28">
      <c r="A36" s="110"/>
      <c r="B36" s="110" t="s">
        <v>988</v>
      </c>
      <c r="C36" s="110">
        <v>3</v>
      </c>
      <c r="D36" s="3"/>
      <c r="E36" s="174"/>
      <c r="F36" s="174"/>
      <c r="G36" s="174"/>
      <c r="H36" s="174"/>
      <c r="I36" s="174"/>
      <c r="J36" s="174"/>
      <c r="K36" s="174"/>
      <c r="L36" s="174"/>
      <c r="M36" s="175"/>
      <c r="N36" s="175"/>
      <c r="O36" s="174"/>
      <c r="P36" s="176"/>
      <c r="Q36" s="176"/>
      <c r="R36" s="177"/>
      <c r="S36" s="177"/>
      <c r="T36" s="175"/>
      <c r="U36" s="175"/>
      <c r="V36" s="178"/>
      <c r="W36" s="179"/>
      <c r="X36" s="180"/>
      <c r="Y36" s="174"/>
      <c r="Z36" s="181"/>
      <c r="AA36" s="94"/>
      <c r="AB36" s="182"/>
    </row>
    <row r="37" spans="1:28">
      <c r="A37" s="110"/>
      <c r="B37" s="110"/>
      <c r="C37" s="110">
        <v>4</v>
      </c>
      <c r="D37" s="3"/>
      <c r="E37" s="174"/>
      <c r="F37" s="174"/>
      <c r="G37" s="174"/>
      <c r="H37" s="174"/>
      <c r="I37" s="174"/>
      <c r="J37" s="174"/>
      <c r="K37" s="174"/>
      <c r="L37" s="174"/>
      <c r="M37" s="175"/>
      <c r="N37" s="175"/>
      <c r="O37" s="174"/>
      <c r="P37" s="176"/>
      <c r="Q37" s="176"/>
      <c r="R37" s="177"/>
      <c r="S37" s="177"/>
      <c r="T37" s="175"/>
      <c r="U37" s="175"/>
      <c r="V37" s="178"/>
      <c r="W37" s="179"/>
      <c r="X37" s="180"/>
      <c r="Y37" s="174"/>
      <c r="Z37" s="181"/>
      <c r="AA37" s="94"/>
      <c r="AB37" s="182"/>
    </row>
    <row r="38" spans="1:28">
      <c r="A38" s="110"/>
      <c r="B38" s="110" t="s">
        <v>988</v>
      </c>
      <c r="C38" s="110">
        <v>4</v>
      </c>
      <c r="D38" s="3"/>
      <c r="E38" s="174"/>
      <c r="F38" s="174"/>
      <c r="G38" s="174"/>
      <c r="H38" s="174"/>
      <c r="I38" s="174"/>
      <c r="J38" s="174"/>
      <c r="K38" s="174"/>
      <c r="L38" s="174"/>
      <c r="M38" s="175"/>
      <c r="N38" s="175"/>
      <c r="O38" s="174"/>
      <c r="P38" s="176"/>
      <c r="Q38" s="176"/>
      <c r="R38" s="177"/>
      <c r="S38" s="177"/>
      <c r="T38" s="175"/>
      <c r="U38" s="175"/>
      <c r="V38" s="178"/>
      <c r="W38" s="179"/>
      <c r="X38" s="180"/>
      <c r="Y38" s="174"/>
      <c r="Z38" s="181"/>
      <c r="AA38" s="94"/>
      <c r="AB38" s="182"/>
    </row>
    <row r="39" spans="1:28">
      <c r="A39" s="110"/>
      <c r="B39" s="110" t="s">
        <v>988</v>
      </c>
      <c r="C39" s="110">
        <v>5</v>
      </c>
      <c r="D39" s="3"/>
      <c r="E39" s="174"/>
      <c r="F39" s="174"/>
      <c r="G39" s="174"/>
      <c r="H39" s="174"/>
      <c r="I39" s="174"/>
      <c r="J39" s="174"/>
      <c r="K39" s="174"/>
      <c r="L39" s="174"/>
      <c r="M39" s="175"/>
      <c r="N39" s="175"/>
      <c r="O39" s="174"/>
      <c r="P39" s="176"/>
      <c r="Q39" s="176"/>
      <c r="R39" s="177"/>
      <c r="S39" s="177"/>
      <c r="T39" s="175"/>
      <c r="U39" s="175"/>
      <c r="V39" s="178"/>
      <c r="W39" s="179"/>
      <c r="X39" s="180"/>
      <c r="Y39" s="174"/>
      <c r="Z39" s="181"/>
      <c r="AA39" s="94"/>
      <c r="AB39" s="182"/>
    </row>
    <row r="40" spans="1:28">
      <c r="A40" s="110"/>
      <c r="B40" s="110"/>
      <c r="C40" s="110">
        <v>6</v>
      </c>
      <c r="D40" s="3"/>
      <c r="E40" s="174"/>
      <c r="F40" s="174"/>
      <c r="G40" s="174"/>
      <c r="H40" s="174"/>
      <c r="I40" s="174"/>
      <c r="J40" s="174"/>
      <c r="K40" s="174"/>
      <c r="L40" s="174"/>
      <c r="M40" s="175"/>
      <c r="N40" s="175"/>
      <c r="O40" s="174"/>
      <c r="P40" s="176"/>
      <c r="Q40" s="176"/>
      <c r="R40" s="177"/>
      <c r="S40" s="177"/>
      <c r="T40" s="175"/>
      <c r="U40" s="175"/>
      <c r="V40" s="178"/>
      <c r="W40" s="179"/>
      <c r="X40" s="180"/>
      <c r="Y40" s="174"/>
      <c r="Z40" s="181"/>
      <c r="AA40" s="94"/>
      <c r="AB40" s="182"/>
    </row>
    <row r="41" spans="1:28">
      <c r="A41" s="110"/>
      <c r="B41" s="110"/>
      <c r="C41" s="110">
        <v>6</v>
      </c>
      <c r="D41" s="3"/>
      <c r="E41" s="174"/>
      <c r="F41" s="174"/>
      <c r="G41" s="174"/>
      <c r="H41" s="174"/>
      <c r="I41" s="174"/>
      <c r="J41" s="174"/>
      <c r="K41" s="174"/>
      <c r="L41" s="174"/>
      <c r="M41" s="175"/>
      <c r="N41" s="175"/>
      <c r="O41" s="174"/>
      <c r="P41" s="176"/>
      <c r="Q41" s="176"/>
      <c r="R41" s="177"/>
      <c r="S41" s="177"/>
      <c r="T41" s="175"/>
      <c r="U41" s="175"/>
      <c r="V41" s="178"/>
      <c r="W41" s="179"/>
      <c r="X41" s="180"/>
      <c r="Y41" s="174"/>
      <c r="Z41" s="181"/>
      <c r="AA41" s="94"/>
      <c r="AB41" s="182"/>
    </row>
    <row r="42" spans="1:28">
      <c r="A42" s="110"/>
      <c r="B42" s="110"/>
      <c r="C42" s="110">
        <v>6</v>
      </c>
      <c r="D42" s="3"/>
      <c r="E42" s="174"/>
      <c r="F42" s="174"/>
      <c r="G42" s="174"/>
      <c r="H42" s="174"/>
      <c r="I42" s="174"/>
      <c r="J42" s="174"/>
      <c r="K42" s="174"/>
      <c r="L42" s="174"/>
      <c r="M42" s="175"/>
      <c r="N42" s="175"/>
      <c r="O42" s="174"/>
      <c r="P42" s="176"/>
      <c r="Q42" s="176"/>
      <c r="R42" s="177"/>
      <c r="S42" s="177"/>
      <c r="T42" s="175"/>
      <c r="U42" s="175"/>
      <c r="V42" s="178"/>
      <c r="W42" s="179"/>
      <c r="X42" s="180"/>
      <c r="Y42" s="174"/>
      <c r="Z42" s="181"/>
      <c r="AA42" s="94"/>
      <c r="AB42" s="182"/>
    </row>
    <row r="43" spans="1:28">
      <c r="A43" s="110"/>
      <c r="B43" s="110"/>
      <c r="C43" s="110">
        <v>5</v>
      </c>
      <c r="D43" s="3"/>
      <c r="E43" s="174"/>
      <c r="F43" s="174"/>
      <c r="G43" s="174"/>
      <c r="H43" s="174"/>
      <c r="I43" s="174"/>
      <c r="J43" s="174"/>
      <c r="K43" s="174"/>
      <c r="L43" s="174"/>
      <c r="M43" s="175"/>
      <c r="N43" s="175"/>
      <c r="O43" s="174"/>
      <c r="P43" s="176"/>
      <c r="Q43" s="176"/>
      <c r="R43" s="177"/>
      <c r="S43" s="177"/>
      <c r="T43" s="175"/>
      <c r="U43" s="175"/>
      <c r="V43" s="178"/>
      <c r="W43" s="179"/>
      <c r="X43" s="180"/>
      <c r="Y43" s="174"/>
      <c r="Z43" s="181"/>
      <c r="AA43" s="94"/>
      <c r="AB43" s="182"/>
    </row>
    <row r="44" spans="1:28">
      <c r="A44" s="110"/>
      <c r="B44" s="110"/>
      <c r="C44" s="110">
        <v>5</v>
      </c>
      <c r="D44" s="3"/>
      <c r="E44" s="174"/>
      <c r="F44" s="174"/>
      <c r="G44" s="174"/>
      <c r="H44" s="174"/>
      <c r="I44" s="174"/>
      <c r="J44" s="174"/>
      <c r="K44" s="174"/>
      <c r="L44" s="174"/>
      <c r="M44" s="175"/>
      <c r="N44" s="175"/>
      <c r="O44" s="174"/>
      <c r="P44" s="176"/>
      <c r="Q44" s="176"/>
      <c r="R44" s="177"/>
      <c r="S44" s="177"/>
      <c r="T44" s="175"/>
      <c r="U44" s="175"/>
      <c r="V44" s="178"/>
      <c r="W44" s="179"/>
      <c r="X44" s="180"/>
      <c r="Y44" s="174"/>
      <c r="Z44" s="181"/>
      <c r="AA44" s="94"/>
      <c r="AB44" s="182"/>
    </row>
    <row r="45" spans="1:28">
      <c r="A45" s="110"/>
      <c r="B45" s="110"/>
      <c r="C45" s="110">
        <v>5</v>
      </c>
      <c r="D45" s="3"/>
      <c r="E45" s="174"/>
      <c r="F45" s="174"/>
      <c r="G45" s="174"/>
      <c r="H45" s="174"/>
      <c r="I45" s="174"/>
      <c r="J45" s="174"/>
      <c r="K45" s="174"/>
      <c r="L45" s="174"/>
      <c r="M45" s="175"/>
      <c r="N45" s="175"/>
      <c r="O45" s="174"/>
      <c r="P45" s="176"/>
      <c r="Q45" s="176"/>
      <c r="R45" s="177"/>
      <c r="S45" s="177"/>
      <c r="T45" s="175"/>
      <c r="U45" s="175"/>
      <c r="V45" s="178"/>
      <c r="W45" s="179"/>
      <c r="X45" s="180"/>
      <c r="Y45" s="174"/>
      <c r="Z45" s="181"/>
      <c r="AA45" s="94"/>
      <c r="AB45" s="182"/>
    </row>
    <row r="46" spans="1:28">
      <c r="A46" s="110"/>
      <c r="B46" s="110" t="s">
        <v>988</v>
      </c>
      <c r="C46" s="110">
        <v>3</v>
      </c>
      <c r="D46" s="3"/>
      <c r="E46" s="174"/>
      <c r="F46" s="174"/>
      <c r="G46" s="174"/>
      <c r="H46" s="174"/>
      <c r="I46" s="174"/>
      <c r="J46" s="174"/>
      <c r="K46" s="174"/>
      <c r="L46" s="174"/>
      <c r="M46" s="175"/>
      <c r="N46" s="175"/>
      <c r="O46" s="174"/>
      <c r="P46" s="176"/>
      <c r="Q46" s="176"/>
      <c r="R46" s="177"/>
      <c r="S46" s="177"/>
      <c r="T46" s="175"/>
      <c r="U46" s="175"/>
      <c r="V46" s="178"/>
      <c r="W46" s="179"/>
      <c r="X46" s="180"/>
      <c r="Y46" s="174"/>
      <c r="Z46" s="181"/>
      <c r="AA46" s="94"/>
      <c r="AB46" s="182"/>
    </row>
    <row r="47" spans="1:28">
      <c r="A47" s="110"/>
      <c r="B47" s="110"/>
      <c r="C47" s="110">
        <v>4</v>
      </c>
      <c r="D47" s="3"/>
      <c r="E47" s="174"/>
      <c r="F47" s="174"/>
      <c r="G47" s="174"/>
      <c r="H47" s="174"/>
      <c r="I47" s="174"/>
      <c r="J47" s="174"/>
      <c r="K47" s="174"/>
      <c r="L47" s="174"/>
      <c r="M47" s="175"/>
      <c r="N47" s="175"/>
      <c r="O47" s="174"/>
      <c r="P47" s="176"/>
      <c r="Q47" s="176"/>
      <c r="R47" s="177"/>
      <c r="S47" s="177"/>
      <c r="T47" s="175"/>
      <c r="U47" s="175"/>
      <c r="V47" s="178"/>
      <c r="W47" s="179"/>
      <c r="X47" s="180"/>
      <c r="Y47" s="174"/>
      <c r="Z47" s="181"/>
      <c r="AA47" s="94"/>
      <c r="AB47" s="182"/>
    </row>
    <row r="48" spans="1:28">
      <c r="A48" s="110"/>
      <c r="B48" s="110"/>
      <c r="C48" s="110">
        <v>4</v>
      </c>
      <c r="D48" s="3"/>
      <c r="E48" s="174"/>
      <c r="F48" s="174"/>
      <c r="G48" s="174"/>
      <c r="H48" s="174"/>
      <c r="I48" s="174"/>
      <c r="J48" s="174"/>
      <c r="K48" s="174"/>
      <c r="L48" s="174"/>
      <c r="M48" s="175"/>
      <c r="N48" s="175"/>
      <c r="O48" s="174"/>
      <c r="P48" s="176"/>
      <c r="Q48" s="176"/>
      <c r="R48" s="177"/>
      <c r="S48" s="177"/>
      <c r="T48" s="175"/>
      <c r="U48" s="175"/>
      <c r="V48" s="178"/>
      <c r="W48" s="179"/>
      <c r="X48" s="180"/>
      <c r="Y48" s="174"/>
      <c r="Z48" s="181"/>
      <c r="AA48" s="94"/>
      <c r="AB48" s="182"/>
    </row>
    <row r="49" spans="1:28">
      <c r="A49" s="110"/>
      <c r="B49" s="110" t="s">
        <v>988</v>
      </c>
      <c r="C49" s="110">
        <v>2</v>
      </c>
      <c r="D49" s="3"/>
      <c r="E49" s="174"/>
      <c r="F49" s="174"/>
      <c r="G49" s="174"/>
      <c r="H49" s="174"/>
      <c r="I49" s="174"/>
      <c r="J49" s="174"/>
      <c r="K49" s="174"/>
      <c r="L49" s="174"/>
      <c r="M49" s="175"/>
      <c r="N49" s="175"/>
      <c r="O49" s="174"/>
      <c r="P49" s="176"/>
      <c r="Q49" s="176"/>
      <c r="R49" s="177"/>
      <c r="S49" s="177"/>
      <c r="T49" s="175"/>
      <c r="U49" s="175"/>
      <c r="V49" s="178"/>
      <c r="W49" s="179"/>
      <c r="X49" s="180"/>
      <c r="Y49" s="174"/>
      <c r="Z49" s="181"/>
      <c r="AA49" s="94"/>
      <c r="AB49" s="182"/>
    </row>
    <row r="50" spans="1:28">
      <c r="A50" s="110"/>
      <c r="B50" s="110" t="s">
        <v>988</v>
      </c>
      <c r="C50" s="110">
        <v>3</v>
      </c>
      <c r="D50" s="3"/>
      <c r="E50" s="174"/>
      <c r="F50" s="174"/>
      <c r="G50" s="174"/>
      <c r="H50" s="174"/>
      <c r="I50" s="174"/>
      <c r="J50" s="174"/>
      <c r="K50" s="174"/>
      <c r="L50" s="174"/>
      <c r="M50" s="175"/>
      <c r="N50" s="175"/>
      <c r="O50" s="174"/>
      <c r="P50" s="176"/>
      <c r="Q50" s="176"/>
      <c r="R50" s="177"/>
      <c r="S50" s="177"/>
      <c r="T50" s="175"/>
      <c r="U50" s="175"/>
      <c r="V50" s="178"/>
      <c r="W50" s="179"/>
      <c r="X50" s="180"/>
      <c r="Y50" s="174"/>
      <c r="Z50" s="181"/>
      <c r="AA50" s="94"/>
      <c r="AB50" s="182"/>
    </row>
    <row r="51" spans="1:28">
      <c r="A51" s="110"/>
      <c r="B51" s="110"/>
      <c r="C51" s="110">
        <v>4</v>
      </c>
      <c r="D51" s="3"/>
      <c r="E51" s="174"/>
      <c r="F51" s="174"/>
      <c r="G51" s="174"/>
      <c r="H51" s="174"/>
      <c r="I51" s="174"/>
      <c r="J51" s="174"/>
      <c r="K51" s="174"/>
      <c r="L51" s="174"/>
      <c r="M51" s="175"/>
      <c r="N51" s="175"/>
      <c r="O51" s="174"/>
      <c r="P51" s="176"/>
      <c r="Q51" s="176"/>
      <c r="R51" s="177"/>
      <c r="S51" s="177"/>
      <c r="T51" s="175"/>
      <c r="U51" s="175"/>
      <c r="V51" s="178"/>
      <c r="W51" s="179"/>
      <c r="X51" s="180"/>
      <c r="Y51" s="174"/>
      <c r="Z51" s="181"/>
      <c r="AA51" s="94"/>
      <c r="AB51" s="182"/>
    </row>
    <row r="52" spans="1:28">
      <c r="A52" s="110"/>
      <c r="B52" s="110" t="s">
        <v>988</v>
      </c>
      <c r="C52" s="110">
        <v>3</v>
      </c>
      <c r="D52" s="3"/>
      <c r="E52" s="174"/>
      <c r="F52" s="174"/>
      <c r="G52" s="174"/>
      <c r="H52" s="174"/>
      <c r="I52" s="174"/>
      <c r="J52" s="174"/>
      <c r="K52" s="174"/>
      <c r="L52" s="174"/>
      <c r="M52" s="175"/>
      <c r="N52" s="175"/>
      <c r="O52" s="174"/>
      <c r="P52" s="176"/>
      <c r="Q52" s="176"/>
      <c r="R52" s="177"/>
      <c r="S52" s="177"/>
      <c r="T52" s="175"/>
      <c r="U52" s="175"/>
      <c r="V52" s="178"/>
      <c r="W52" s="179"/>
      <c r="X52" s="180"/>
      <c r="Y52" s="174"/>
      <c r="Z52" s="181"/>
      <c r="AA52" s="94"/>
      <c r="AB52" s="182"/>
    </row>
    <row r="53" spans="1:28">
      <c r="A53" s="110"/>
      <c r="B53" s="110"/>
      <c r="C53" s="110">
        <v>4</v>
      </c>
      <c r="D53" s="3"/>
      <c r="E53" s="174"/>
      <c r="F53" s="174"/>
      <c r="G53" s="174"/>
      <c r="H53" s="174"/>
      <c r="I53" s="174"/>
      <c r="J53" s="174"/>
      <c r="K53" s="174"/>
      <c r="L53" s="174"/>
      <c r="M53" s="175"/>
      <c r="N53" s="175"/>
      <c r="O53" s="174"/>
      <c r="P53" s="176"/>
      <c r="Q53" s="176"/>
      <c r="R53" s="177"/>
      <c r="S53" s="177"/>
      <c r="T53" s="175"/>
      <c r="U53" s="175"/>
      <c r="V53" s="178"/>
      <c r="W53" s="179"/>
      <c r="X53" s="180"/>
      <c r="Y53" s="174"/>
      <c r="Z53" s="181"/>
      <c r="AA53" s="94"/>
      <c r="AB53" s="182"/>
    </row>
    <row r="54" spans="1:28">
      <c r="A54" s="110"/>
      <c r="B54" s="110"/>
      <c r="C54" s="110">
        <v>4</v>
      </c>
      <c r="D54" s="3"/>
      <c r="E54" s="174"/>
      <c r="F54" s="174"/>
      <c r="G54" s="174"/>
      <c r="H54" s="174"/>
      <c r="I54" s="174"/>
      <c r="J54" s="174"/>
      <c r="K54" s="174"/>
      <c r="L54" s="174"/>
      <c r="M54" s="175"/>
      <c r="N54" s="175"/>
      <c r="O54" s="174"/>
      <c r="P54" s="176"/>
      <c r="Q54" s="176"/>
      <c r="R54" s="177"/>
      <c r="S54" s="177"/>
      <c r="T54" s="175"/>
      <c r="U54" s="175"/>
      <c r="V54" s="178"/>
      <c r="W54" s="179"/>
      <c r="X54" s="180"/>
      <c r="Y54" s="174"/>
      <c r="Z54" s="181"/>
      <c r="AA54" s="94"/>
      <c r="AB54" s="182"/>
    </row>
    <row r="55" spans="1:28">
      <c r="A55" s="110"/>
      <c r="B55" s="110"/>
      <c r="C55" s="110">
        <v>4</v>
      </c>
      <c r="D55" s="3"/>
      <c r="E55" s="174"/>
      <c r="F55" s="174"/>
      <c r="G55" s="174"/>
      <c r="H55" s="174"/>
      <c r="I55" s="174"/>
      <c r="J55" s="174"/>
      <c r="K55" s="174"/>
      <c r="L55" s="174"/>
      <c r="M55" s="175"/>
      <c r="N55" s="175"/>
      <c r="O55" s="174"/>
      <c r="P55" s="176"/>
      <c r="Q55" s="176"/>
      <c r="R55" s="177"/>
      <c r="S55" s="177"/>
      <c r="T55" s="175"/>
      <c r="U55" s="175"/>
      <c r="V55" s="178"/>
      <c r="W55" s="179"/>
      <c r="X55" s="180"/>
      <c r="Y55" s="174"/>
      <c r="Z55" s="181"/>
      <c r="AA55" s="94"/>
      <c r="AB55" s="182"/>
    </row>
    <row r="56" spans="1:28">
      <c r="A56" s="110"/>
      <c r="B56" s="110"/>
      <c r="C56" s="110">
        <v>4</v>
      </c>
      <c r="D56" s="3"/>
      <c r="E56" s="174"/>
      <c r="F56" s="174"/>
      <c r="G56" s="174"/>
      <c r="H56" s="174"/>
      <c r="I56" s="174"/>
      <c r="J56" s="174"/>
      <c r="K56" s="174"/>
      <c r="L56" s="174"/>
      <c r="M56" s="175"/>
      <c r="N56" s="175"/>
      <c r="O56" s="174"/>
      <c r="P56" s="176"/>
      <c r="Q56" s="176"/>
      <c r="R56" s="177"/>
      <c r="S56" s="177"/>
      <c r="T56" s="175"/>
      <c r="U56" s="175"/>
      <c r="V56" s="178"/>
      <c r="W56" s="179"/>
      <c r="X56" s="180"/>
      <c r="Y56" s="174"/>
      <c r="Z56" s="181"/>
      <c r="AA56" s="94"/>
      <c r="AB56" s="182"/>
    </row>
    <row r="57" spans="1:28">
      <c r="A57" s="183"/>
      <c r="B57" s="183"/>
      <c r="C57" s="183"/>
      <c r="D57" s="184"/>
      <c r="E57" s="185"/>
      <c r="F57" s="185"/>
      <c r="G57" s="185"/>
      <c r="H57" s="185"/>
      <c r="I57" s="185"/>
      <c r="J57" s="185"/>
      <c r="K57" s="185"/>
      <c r="L57" s="185"/>
      <c r="M57" s="186"/>
      <c r="N57" s="186"/>
      <c r="O57" s="185"/>
      <c r="P57" s="187"/>
      <c r="Q57" s="187"/>
      <c r="R57" s="188"/>
      <c r="S57" s="188"/>
      <c r="T57" s="186"/>
      <c r="U57" s="186"/>
      <c r="V57" s="189"/>
      <c r="W57" s="190"/>
      <c r="X57" s="191"/>
      <c r="Y57" s="185"/>
      <c r="Z57" s="192"/>
      <c r="AA57" s="193"/>
      <c r="AB57" s="194"/>
    </row>
    <row r="58" spans="1:28">
      <c r="A58" s="110"/>
      <c r="B58" s="110"/>
      <c r="C58" s="110"/>
      <c r="D58" s="3"/>
      <c r="E58" s="174"/>
      <c r="F58" s="174"/>
      <c r="G58" s="174"/>
      <c r="H58" s="174"/>
      <c r="I58" s="174"/>
      <c r="J58" s="174"/>
      <c r="K58" s="174"/>
      <c r="L58" s="174"/>
      <c r="M58" s="175"/>
      <c r="N58" s="175"/>
      <c r="O58" s="174"/>
      <c r="P58" s="176"/>
      <c r="Q58" s="176"/>
      <c r="R58" s="177"/>
      <c r="S58" s="177"/>
      <c r="T58" s="175"/>
      <c r="U58" s="175"/>
      <c r="V58" s="178"/>
      <c r="W58" s="179"/>
      <c r="X58" s="180"/>
      <c r="Y58" s="174"/>
      <c r="Z58" s="181"/>
      <c r="AA58" s="94"/>
      <c r="AB58" s="182"/>
    </row>
    <row r="59" spans="1:28">
      <c r="A59" s="110"/>
      <c r="B59" s="110"/>
      <c r="C59" s="110"/>
      <c r="D59" s="3"/>
      <c r="E59" s="174"/>
      <c r="F59" s="174"/>
      <c r="G59" s="174"/>
      <c r="H59" s="174"/>
      <c r="I59" s="174"/>
      <c r="J59" s="174"/>
      <c r="K59" s="174"/>
      <c r="L59" s="174"/>
      <c r="M59" s="175"/>
      <c r="N59" s="175"/>
      <c r="O59" s="174"/>
      <c r="P59" s="176"/>
      <c r="Q59" s="176"/>
      <c r="R59" s="177"/>
      <c r="S59" s="177"/>
      <c r="T59" s="175"/>
      <c r="U59" s="175"/>
      <c r="V59" s="178"/>
      <c r="W59" s="179"/>
      <c r="X59" s="180"/>
      <c r="Y59" s="174"/>
      <c r="Z59" s="181"/>
      <c r="AA59" s="94"/>
      <c r="AB59" s="182"/>
    </row>
    <row r="60" spans="1:28">
      <c r="A60" s="110"/>
      <c r="B60" s="110"/>
      <c r="C60" s="110"/>
      <c r="D60" s="3"/>
      <c r="E60" s="174"/>
      <c r="F60" s="174"/>
      <c r="G60" s="174"/>
      <c r="H60" s="174"/>
      <c r="I60" s="174"/>
      <c r="J60" s="174"/>
      <c r="K60" s="174"/>
      <c r="L60" s="174"/>
      <c r="M60" s="175"/>
      <c r="N60" s="175"/>
      <c r="O60" s="174"/>
      <c r="P60" s="176"/>
      <c r="Q60" s="176"/>
      <c r="R60" s="177"/>
      <c r="S60" s="177"/>
      <c r="T60" s="175"/>
      <c r="U60" s="175"/>
      <c r="V60" s="178"/>
      <c r="W60" s="179"/>
      <c r="X60" s="180"/>
      <c r="Y60" s="174"/>
      <c r="Z60" s="181"/>
      <c r="AA60" s="94"/>
      <c r="AB60" s="182"/>
    </row>
    <row r="61" spans="1:28">
      <c r="A61" s="110"/>
      <c r="B61" s="110"/>
      <c r="C61" s="110"/>
      <c r="D61" s="3"/>
      <c r="E61" s="174"/>
      <c r="F61" s="174"/>
      <c r="G61" s="174"/>
      <c r="H61" s="174"/>
      <c r="I61" s="174"/>
      <c r="J61" s="174"/>
      <c r="K61" s="174"/>
      <c r="L61" s="174"/>
      <c r="M61" s="175"/>
      <c r="N61" s="175"/>
      <c r="O61" s="174"/>
      <c r="P61" s="176"/>
      <c r="Q61" s="176"/>
      <c r="R61" s="177"/>
      <c r="S61" s="177"/>
      <c r="T61" s="175"/>
      <c r="U61" s="175"/>
      <c r="V61" s="178"/>
      <c r="W61" s="179"/>
      <c r="X61" s="180"/>
      <c r="Y61" s="174"/>
      <c r="Z61" s="181"/>
      <c r="AA61" s="94"/>
      <c r="AB61" s="182"/>
    </row>
    <row r="62" spans="1:28">
      <c r="A62" s="110"/>
      <c r="B62" s="110"/>
      <c r="C62" s="110"/>
      <c r="D62" s="3"/>
      <c r="E62" s="174"/>
      <c r="F62" s="174"/>
      <c r="G62" s="174"/>
      <c r="H62" s="174"/>
      <c r="I62" s="174"/>
      <c r="J62" s="174"/>
      <c r="K62" s="174"/>
      <c r="L62" s="174"/>
      <c r="M62" s="175"/>
      <c r="N62" s="175"/>
      <c r="O62" s="174"/>
      <c r="P62" s="176"/>
      <c r="Q62" s="176"/>
      <c r="R62" s="177"/>
      <c r="S62" s="177"/>
      <c r="T62" s="175"/>
      <c r="U62" s="175"/>
      <c r="V62" s="178"/>
      <c r="W62" s="179"/>
      <c r="X62" s="180"/>
      <c r="Y62" s="174"/>
      <c r="Z62" s="181"/>
      <c r="AA62" s="94"/>
      <c r="AB62" s="182"/>
    </row>
    <row r="63" spans="1:28">
      <c r="A63" s="110"/>
      <c r="B63" s="110"/>
      <c r="C63" s="110"/>
      <c r="D63" s="3"/>
      <c r="E63" s="174"/>
      <c r="F63" s="174"/>
      <c r="G63" s="174"/>
      <c r="H63" s="174"/>
      <c r="I63" s="174"/>
      <c r="J63" s="174"/>
      <c r="K63" s="174"/>
      <c r="L63" s="174"/>
      <c r="M63" s="175"/>
      <c r="N63" s="175"/>
      <c r="O63" s="174"/>
      <c r="P63" s="176"/>
      <c r="Q63" s="176"/>
      <c r="R63" s="177"/>
      <c r="S63" s="177"/>
      <c r="T63" s="175"/>
      <c r="U63" s="175"/>
      <c r="V63" s="178"/>
      <c r="W63" s="179"/>
      <c r="X63" s="180"/>
      <c r="Y63" s="174"/>
      <c r="Z63" s="181"/>
      <c r="AA63" s="94"/>
      <c r="AB63" s="182"/>
    </row>
    <row r="64" spans="1:28">
      <c r="A64" s="110"/>
      <c r="B64" s="110"/>
      <c r="C64" s="110"/>
      <c r="D64" s="3"/>
      <c r="E64" s="174"/>
      <c r="F64" s="174"/>
      <c r="G64" s="174"/>
      <c r="H64" s="174"/>
      <c r="I64" s="174"/>
      <c r="J64" s="174"/>
      <c r="K64" s="174"/>
      <c r="L64" s="174"/>
      <c r="M64" s="175"/>
      <c r="N64" s="175"/>
      <c r="O64" s="174"/>
      <c r="P64" s="176"/>
      <c r="Q64" s="176"/>
      <c r="R64" s="177"/>
      <c r="S64" s="177"/>
      <c r="T64" s="175"/>
      <c r="U64" s="175"/>
      <c r="V64" s="178"/>
      <c r="W64" s="179"/>
      <c r="X64" s="180"/>
      <c r="Y64" s="174"/>
      <c r="Z64" s="181"/>
      <c r="AA64" s="94"/>
      <c r="AB64" s="182"/>
    </row>
    <row r="65" spans="1:28">
      <c r="A65" s="110"/>
      <c r="B65" s="110"/>
      <c r="C65" s="110"/>
      <c r="D65" s="3"/>
      <c r="E65" s="174"/>
      <c r="F65" s="174"/>
      <c r="G65" s="174"/>
      <c r="H65" s="174"/>
      <c r="I65" s="174"/>
      <c r="J65" s="174"/>
      <c r="K65" s="174"/>
      <c r="L65" s="174"/>
      <c r="M65" s="175"/>
      <c r="N65" s="175"/>
      <c r="O65" s="174"/>
      <c r="P65" s="176"/>
      <c r="Q65" s="176"/>
      <c r="R65" s="177"/>
      <c r="S65" s="177"/>
      <c r="T65" s="175"/>
      <c r="U65" s="175"/>
      <c r="V65" s="178"/>
      <c r="W65" s="179"/>
      <c r="X65" s="180"/>
      <c r="Y65" s="174"/>
      <c r="Z65" s="181"/>
      <c r="AA65" s="94"/>
      <c r="AB65" s="182"/>
    </row>
    <row r="66" spans="1:28">
      <c r="A66" s="110"/>
      <c r="B66" s="110"/>
      <c r="C66" s="110"/>
      <c r="D66" s="3"/>
      <c r="E66" s="174"/>
      <c r="F66" s="174"/>
      <c r="G66" s="174"/>
      <c r="H66" s="174"/>
      <c r="I66" s="174"/>
      <c r="J66" s="174"/>
      <c r="K66" s="174"/>
      <c r="L66" s="174"/>
      <c r="M66" s="175"/>
      <c r="N66" s="175"/>
      <c r="O66" s="174"/>
      <c r="P66" s="176"/>
      <c r="Q66" s="176"/>
      <c r="R66" s="177"/>
      <c r="S66" s="177"/>
      <c r="T66" s="175"/>
      <c r="U66" s="175"/>
      <c r="V66" s="178"/>
      <c r="W66" s="179"/>
      <c r="X66" s="180"/>
      <c r="Y66" s="174"/>
      <c r="Z66" s="181"/>
      <c r="AA66" s="94"/>
      <c r="AB66" s="182"/>
    </row>
    <row r="67" spans="1:28">
      <c r="A67" s="110"/>
      <c r="B67" s="110"/>
      <c r="C67" s="110"/>
      <c r="D67" s="3"/>
      <c r="E67" s="174"/>
      <c r="F67" s="174"/>
      <c r="G67" s="174"/>
      <c r="H67" s="174"/>
      <c r="I67" s="174"/>
      <c r="J67" s="174"/>
      <c r="K67" s="174"/>
      <c r="L67" s="174"/>
      <c r="M67" s="175"/>
      <c r="N67" s="175"/>
      <c r="O67" s="174"/>
      <c r="P67" s="176"/>
      <c r="Q67" s="176"/>
      <c r="R67" s="177"/>
      <c r="S67" s="177"/>
      <c r="T67" s="175"/>
      <c r="U67" s="175"/>
      <c r="V67" s="178"/>
      <c r="W67" s="179"/>
      <c r="X67" s="180"/>
      <c r="Y67" s="174"/>
      <c r="Z67" s="181"/>
      <c r="AA67" s="94"/>
      <c r="AB67" s="182"/>
    </row>
    <row r="68" spans="1:28">
      <c r="A68" s="110"/>
      <c r="B68" s="110"/>
      <c r="C68" s="110"/>
      <c r="D68" s="3"/>
      <c r="E68" s="174"/>
      <c r="F68" s="174"/>
      <c r="G68" s="174"/>
      <c r="H68" s="174"/>
      <c r="I68" s="174"/>
      <c r="J68" s="174"/>
      <c r="K68" s="174"/>
      <c r="L68" s="174"/>
      <c r="M68" s="175"/>
      <c r="N68" s="175"/>
      <c r="O68" s="174"/>
      <c r="P68" s="176"/>
      <c r="Q68" s="176"/>
      <c r="R68" s="177"/>
      <c r="S68" s="177"/>
      <c r="T68" s="175"/>
      <c r="U68" s="175"/>
      <c r="V68" s="178"/>
      <c r="W68" s="179"/>
      <c r="X68" s="180"/>
      <c r="Y68" s="174"/>
      <c r="Z68" s="181"/>
      <c r="AA68" s="94"/>
      <c r="AB68" s="182"/>
    </row>
    <row r="69" spans="1:28">
      <c r="A69" s="110"/>
      <c r="B69" s="110"/>
      <c r="C69" s="110"/>
      <c r="D69" s="3"/>
      <c r="E69" s="174"/>
      <c r="F69" s="174"/>
      <c r="G69" s="174"/>
      <c r="H69" s="174"/>
      <c r="I69" s="174"/>
      <c r="J69" s="174"/>
      <c r="K69" s="174"/>
      <c r="L69" s="174"/>
      <c r="M69" s="175"/>
      <c r="N69" s="175"/>
      <c r="O69" s="174"/>
      <c r="P69" s="176"/>
      <c r="Q69" s="176"/>
      <c r="R69" s="177"/>
      <c r="S69" s="177"/>
      <c r="T69" s="175"/>
      <c r="U69" s="175"/>
      <c r="V69" s="178"/>
      <c r="W69" s="179"/>
      <c r="X69" s="180"/>
      <c r="Y69" s="174"/>
      <c r="Z69" s="181"/>
      <c r="AA69" s="94"/>
      <c r="AB69" s="182"/>
    </row>
    <row r="70" spans="1:28">
      <c r="A70" s="110"/>
      <c r="B70" s="110"/>
      <c r="C70" s="110"/>
      <c r="D70" s="3"/>
      <c r="E70" s="174"/>
      <c r="F70" s="174"/>
      <c r="G70" s="174"/>
      <c r="H70" s="174"/>
      <c r="I70" s="174"/>
      <c r="J70" s="174"/>
      <c r="K70" s="174"/>
      <c r="L70" s="174"/>
      <c r="M70" s="175"/>
      <c r="N70" s="175"/>
      <c r="O70" s="174"/>
      <c r="P70" s="176"/>
      <c r="Q70" s="176"/>
      <c r="R70" s="177"/>
      <c r="S70" s="177"/>
      <c r="T70" s="175"/>
      <c r="U70" s="175"/>
      <c r="V70" s="178"/>
      <c r="W70" s="179"/>
      <c r="X70" s="180"/>
      <c r="Y70" s="174"/>
      <c r="Z70" s="181"/>
      <c r="AA70" s="94"/>
      <c r="AB70" s="182"/>
    </row>
    <row r="71" spans="1:28">
      <c r="A71" s="110"/>
      <c r="B71" s="110"/>
      <c r="C71" s="110"/>
      <c r="D71" s="3"/>
      <c r="E71" s="174"/>
      <c r="F71" s="174"/>
      <c r="G71" s="174"/>
      <c r="H71" s="174"/>
      <c r="I71" s="174"/>
      <c r="J71" s="174"/>
      <c r="K71" s="174"/>
      <c r="L71" s="174"/>
      <c r="M71" s="175"/>
      <c r="N71" s="175"/>
      <c r="O71" s="174"/>
      <c r="P71" s="176"/>
      <c r="Q71" s="176"/>
      <c r="R71" s="177"/>
      <c r="S71" s="177"/>
      <c r="T71" s="175"/>
      <c r="U71" s="175"/>
      <c r="V71" s="178"/>
      <c r="W71" s="179"/>
      <c r="X71" s="180"/>
      <c r="Y71" s="174"/>
      <c r="Z71" s="181"/>
      <c r="AA71" s="94"/>
      <c r="AB71" s="182"/>
    </row>
    <row r="72" spans="1:28">
      <c r="A72" s="110"/>
      <c r="B72" s="110"/>
      <c r="C72" s="110"/>
      <c r="D72" s="3"/>
      <c r="E72" s="174"/>
      <c r="F72" s="174"/>
      <c r="G72" s="174"/>
      <c r="H72" s="174"/>
      <c r="I72" s="174"/>
      <c r="J72" s="174"/>
      <c r="K72" s="174"/>
      <c r="L72" s="174"/>
      <c r="M72" s="175"/>
      <c r="N72" s="175"/>
      <c r="O72" s="174"/>
      <c r="P72" s="176"/>
      <c r="Q72" s="176"/>
      <c r="R72" s="177"/>
      <c r="S72" s="177"/>
      <c r="T72" s="175"/>
      <c r="U72" s="175"/>
      <c r="V72" s="178"/>
      <c r="W72" s="179"/>
      <c r="X72" s="180"/>
      <c r="Y72" s="174"/>
      <c r="Z72" s="181"/>
      <c r="AA72" s="94"/>
      <c r="AB72" s="182"/>
    </row>
    <row r="73" spans="1:28">
      <c r="A73" s="110"/>
      <c r="B73" s="110"/>
      <c r="C73" s="110"/>
      <c r="D73" s="3"/>
      <c r="E73" s="174"/>
      <c r="F73" s="174"/>
      <c r="G73" s="174"/>
      <c r="H73" s="174"/>
      <c r="I73" s="174"/>
      <c r="J73" s="174"/>
      <c r="K73" s="174"/>
      <c r="L73" s="174"/>
      <c r="M73" s="175"/>
      <c r="N73" s="175"/>
      <c r="O73" s="174"/>
      <c r="P73" s="176"/>
      <c r="Q73" s="176"/>
      <c r="R73" s="177"/>
      <c r="S73" s="177"/>
      <c r="T73" s="175"/>
      <c r="U73" s="175"/>
      <c r="V73" s="178"/>
      <c r="W73" s="179"/>
      <c r="X73" s="180"/>
      <c r="Y73" s="174"/>
      <c r="Z73" s="181"/>
      <c r="AA73" s="94"/>
      <c r="AB73" s="182"/>
    </row>
    <row r="74" spans="1:28">
      <c r="A74" s="110"/>
      <c r="B74" s="110"/>
      <c r="C74" s="110"/>
      <c r="D74" s="3"/>
      <c r="E74" s="174"/>
      <c r="F74" s="174"/>
      <c r="G74" s="174"/>
      <c r="H74" s="174"/>
      <c r="I74" s="174"/>
      <c r="J74" s="174"/>
      <c r="K74" s="174"/>
      <c r="L74" s="174"/>
      <c r="M74" s="175"/>
      <c r="N74" s="175"/>
      <c r="O74" s="174"/>
      <c r="P74" s="176"/>
      <c r="Q74" s="176"/>
      <c r="R74" s="177"/>
      <c r="S74" s="177"/>
      <c r="T74" s="175"/>
      <c r="U74" s="175"/>
      <c r="V74" s="178"/>
      <c r="W74" s="179"/>
      <c r="X74" s="180"/>
      <c r="Y74" s="174"/>
      <c r="Z74" s="181"/>
      <c r="AA74" s="94"/>
      <c r="AB74" s="182"/>
    </row>
    <row r="75" spans="1:28">
      <c r="A75" s="110"/>
      <c r="B75" s="110"/>
      <c r="C75" s="110"/>
      <c r="D75" s="3"/>
      <c r="E75" s="174"/>
      <c r="F75" s="174"/>
      <c r="G75" s="174"/>
      <c r="H75" s="174"/>
      <c r="I75" s="174"/>
      <c r="J75" s="174"/>
      <c r="K75" s="174"/>
      <c r="L75" s="174"/>
      <c r="M75" s="175"/>
      <c r="N75" s="175"/>
      <c r="O75" s="174"/>
      <c r="P75" s="176"/>
      <c r="Q75" s="176"/>
      <c r="R75" s="177"/>
      <c r="S75" s="177"/>
      <c r="T75" s="175"/>
      <c r="U75" s="175"/>
      <c r="V75" s="178"/>
      <c r="W75" s="179"/>
      <c r="X75" s="180"/>
      <c r="Y75" s="174"/>
      <c r="Z75" s="181"/>
      <c r="AA75" s="94"/>
      <c r="AB75" s="182"/>
    </row>
    <row r="76" spans="1:28">
      <c r="A76" s="110"/>
      <c r="B76" s="110"/>
      <c r="C76" s="110"/>
      <c r="D76" s="3"/>
      <c r="E76" s="174"/>
      <c r="F76" s="174"/>
      <c r="G76" s="174"/>
      <c r="H76" s="174"/>
      <c r="I76" s="174"/>
      <c r="J76" s="174"/>
      <c r="K76" s="174"/>
      <c r="L76" s="174"/>
      <c r="M76" s="175"/>
      <c r="N76" s="175"/>
      <c r="O76" s="174"/>
      <c r="P76" s="176"/>
      <c r="Q76" s="176"/>
      <c r="R76" s="177"/>
      <c r="S76" s="177"/>
      <c r="T76" s="175"/>
      <c r="U76" s="175"/>
      <c r="V76" s="178"/>
      <c r="W76" s="179"/>
      <c r="X76" s="180"/>
      <c r="Y76" s="174"/>
      <c r="Z76" s="181"/>
      <c r="AA76" s="94"/>
      <c r="AB76" s="182"/>
    </row>
    <row r="77" spans="1:28">
      <c r="A77" s="110"/>
      <c r="B77" s="110"/>
      <c r="C77" s="110"/>
      <c r="D77" s="3"/>
      <c r="E77" s="174"/>
      <c r="F77" s="174"/>
      <c r="G77" s="174"/>
      <c r="H77" s="174"/>
      <c r="I77" s="174"/>
      <c r="J77" s="174"/>
      <c r="K77" s="174"/>
      <c r="L77" s="174"/>
      <c r="M77" s="175"/>
      <c r="N77" s="175"/>
      <c r="O77" s="174"/>
      <c r="P77" s="176"/>
      <c r="Q77" s="176"/>
      <c r="R77" s="177"/>
      <c r="S77" s="177"/>
      <c r="T77" s="175"/>
      <c r="U77" s="175"/>
      <c r="V77" s="178"/>
      <c r="W77" s="179"/>
      <c r="X77" s="180"/>
      <c r="Y77" s="174"/>
      <c r="Z77" s="181"/>
      <c r="AA77" s="94"/>
      <c r="AB77" s="182"/>
    </row>
    <row r="78" spans="1:28">
      <c r="A78" s="110"/>
      <c r="B78" s="110"/>
      <c r="C78" s="110"/>
      <c r="D78" s="3"/>
      <c r="E78" s="174"/>
      <c r="F78" s="174"/>
      <c r="G78" s="174"/>
      <c r="H78" s="174"/>
      <c r="I78" s="174"/>
      <c r="J78" s="174"/>
      <c r="K78" s="174"/>
      <c r="L78" s="174"/>
      <c r="M78" s="175"/>
      <c r="N78" s="175"/>
      <c r="O78" s="174"/>
      <c r="P78" s="176"/>
      <c r="Q78" s="176"/>
      <c r="R78" s="177"/>
      <c r="S78" s="177"/>
      <c r="T78" s="175"/>
      <c r="U78" s="175"/>
      <c r="V78" s="178"/>
      <c r="W78" s="179"/>
      <c r="X78" s="180"/>
      <c r="Y78" s="174"/>
      <c r="Z78" s="181"/>
      <c r="AA78" s="94"/>
      <c r="AB78" s="182"/>
    </row>
    <row r="79" spans="1:28">
      <c r="A79" s="110"/>
      <c r="B79" s="110"/>
      <c r="C79" s="110"/>
      <c r="D79" s="3"/>
      <c r="E79" s="174"/>
      <c r="F79" s="174"/>
      <c r="G79" s="174"/>
      <c r="H79" s="174"/>
      <c r="I79" s="174"/>
      <c r="J79" s="174"/>
      <c r="K79" s="174"/>
      <c r="L79" s="174"/>
      <c r="M79" s="175"/>
      <c r="N79" s="175"/>
      <c r="O79" s="174"/>
      <c r="P79" s="176"/>
      <c r="Q79" s="176"/>
      <c r="R79" s="177"/>
      <c r="S79" s="177"/>
      <c r="T79" s="175"/>
      <c r="U79" s="175"/>
      <c r="V79" s="178"/>
      <c r="W79" s="179"/>
      <c r="X79" s="180"/>
      <c r="Y79" s="174"/>
      <c r="Z79" s="181"/>
      <c r="AA79" s="94"/>
      <c r="AB79" s="182"/>
    </row>
    <row r="80" spans="1:28">
      <c r="A80" s="110"/>
      <c r="B80" s="110"/>
      <c r="C80" s="110"/>
      <c r="D80" s="3"/>
      <c r="E80" s="174"/>
      <c r="F80" s="174"/>
      <c r="G80" s="174"/>
      <c r="H80" s="174"/>
      <c r="I80" s="174"/>
      <c r="J80" s="174"/>
      <c r="K80" s="174"/>
      <c r="L80" s="174"/>
      <c r="M80" s="175"/>
      <c r="N80" s="175"/>
      <c r="O80" s="174"/>
      <c r="P80" s="176"/>
      <c r="Q80" s="176"/>
      <c r="R80" s="177"/>
      <c r="S80" s="177"/>
      <c r="T80" s="175"/>
      <c r="U80" s="175"/>
      <c r="V80" s="178"/>
      <c r="W80" s="179"/>
      <c r="X80" s="180"/>
      <c r="Y80" s="174"/>
      <c r="Z80" s="181"/>
      <c r="AA80" s="94"/>
      <c r="AB80" s="182"/>
    </row>
    <row r="81" spans="1:28">
      <c r="A81" s="110"/>
      <c r="B81" s="110"/>
      <c r="C81" s="110"/>
      <c r="D81" s="3"/>
      <c r="E81" s="174"/>
      <c r="F81" s="174"/>
      <c r="G81" s="174"/>
      <c r="H81" s="174"/>
      <c r="I81" s="174"/>
      <c r="J81" s="174"/>
      <c r="K81" s="174"/>
      <c r="L81" s="174"/>
      <c r="M81" s="175"/>
      <c r="N81" s="175"/>
      <c r="O81" s="174"/>
      <c r="P81" s="176"/>
      <c r="Q81" s="176"/>
      <c r="R81" s="177"/>
      <c r="S81" s="177"/>
      <c r="T81" s="175"/>
      <c r="U81" s="175"/>
      <c r="V81" s="178"/>
      <c r="W81" s="179"/>
      <c r="X81" s="180"/>
      <c r="Y81" s="174"/>
      <c r="Z81" s="181"/>
      <c r="AA81" s="94"/>
      <c r="AB81" s="182"/>
    </row>
    <row r="82" spans="1:28">
      <c r="A82" s="110"/>
      <c r="B82" s="110"/>
      <c r="C82" s="110"/>
      <c r="D82" s="3"/>
      <c r="E82" s="174"/>
      <c r="F82" s="174"/>
      <c r="G82" s="174"/>
      <c r="H82" s="174"/>
      <c r="I82" s="174"/>
      <c r="J82" s="174"/>
      <c r="K82" s="174"/>
      <c r="L82" s="174"/>
      <c r="M82" s="175"/>
      <c r="N82" s="175"/>
      <c r="O82" s="174"/>
      <c r="P82" s="176"/>
      <c r="Q82" s="176"/>
      <c r="R82" s="177"/>
      <c r="S82" s="177"/>
      <c r="T82" s="175"/>
      <c r="U82" s="175"/>
      <c r="V82" s="178"/>
      <c r="W82" s="179"/>
      <c r="X82" s="180"/>
      <c r="Y82" s="174"/>
      <c r="Z82" s="181"/>
      <c r="AA82" s="94"/>
      <c r="AB82" s="182"/>
    </row>
    <row r="83" spans="1:28">
      <c r="A83" s="110"/>
      <c r="B83" s="110"/>
      <c r="C83" s="110"/>
      <c r="D83" s="3"/>
      <c r="E83" s="174"/>
      <c r="F83" s="174"/>
      <c r="G83" s="174"/>
      <c r="H83" s="174"/>
      <c r="I83" s="174"/>
      <c r="J83" s="174"/>
      <c r="K83" s="174"/>
      <c r="L83" s="174"/>
      <c r="M83" s="175"/>
      <c r="N83" s="175"/>
      <c r="O83" s="174"/>
      <c r="P83" s="176"/>
      <c r="Q83" s="176"/>
      <c r="R83" s="177"/>
      <c r="S83" s="177"/>
      <c r="T83" s="175"/>
      <c r="U83" s="175"/>
      <c r="V83" s="178"/>
      <c r="W83" s="179"/>
      <c r="X83" s="180"/>
      <c r="Y83" s="174"/>
      <c r="Z83" s="181"/>
      <c r="AA83" s="94"/>
      <c r="AB83" s="182"/>
    </row>
    <row r="84" spans="1:28">
      <c r="A84" s="110"/>
      <c r="B84" s="110"/>
      <c r="C84" s="110"/>
      <c r="D84" s="3"/>
      <c r="E84" s="174"/>
      <c r="F84" s="174"/>
      <c r="G84" s="174"/>
      <c r="H84" s="174"/>
      <c r="I84" s="174"/>
      <c r="J84" s="174"/>
      <c r="K84" s="174"/>
      <c r="L84" s="174"/>
      <c r="M84" s="175"/>
      <c r="N84" s="175"/>
      <c r="O84" s="174"/>
      <c r="P84" s="176"/>
      <c r="Q84" s="176"/>
      <c r="R84" s="177"/>
      <c r="S84" s="177"/>
      <c r="T84" s="175"/>
      <c r="U84" s="175"/>
      <c r="V84" s="178"/>
      <c r="W84" s="179"/>
      <c r="X84" s="180"/>
      <c r="Y84" s="174"/>
      <c r="Z84" s="181"/>
      <c r="AA84" s="94"/>
      <c r="AB84" s="182"/>
    </row>
    <row r="85" spans="1:28">
      <c r="A85" s="110"/>
      <c r="B85" s="110"/>
      <c r="C85" s="110"/>
      <c r="D85" s="3"/>
      <c r="E85" s="174"/>
      <c r="F85" s="174"/>
      <c r="G85" s="174"/>
      <c r="H85" s="174"/>
      <c r="I85" s="174"/>
      <c r="J85" s="174"/>
      <c r="K85" s="174"/>
      <c r="L85" s="174"/>
      <c r="M85" s="175"/>
      <c r="N85" s="175"/>
      <c r="O85" s="174"/>
      <c r="P85" s="176"/>
      <c r="Q85" s="176"/>
      <c r="R85" s="177"/>
      <c r="S85" s="177"/>
      <c r="T85" s="175"/>
      <c r="U85" s="175"/>
      <c r="V85" s="178"/>
      <c r="W85" s="179"/>
      <c r="X85" s="180"/>
      <c r="Y85" s="174"/>
      <c r="Z85" s="181"/>
      <c r="AA85" s="94"/>
      <c r="AB85" s="182"/>
    </row>
    <row r="86" spans="1:28">
      <c r="A86" s="110"/>
      <c r="B86" s="110"/>
      <c r="C86" s="110"/>
      <c r="D86" s="3"/>
      <c r="E86" s="174"/>
      <c r="F86" s="174"/>
      <c r="G86" s="174"/>
      <c r="H86" s="174"/>
      <c r="I86" s="174"/>
      <c r="J86" s="174"/>
      <c r="K86" s="174"/>
      <c r="L86" s="174"/>
      <c r="M86" s="175"/>
      <c r="N86" s="175"/>
      <c r="O86" s="174"/>
      <c r="P86" s="176"/>
      <c r="Q86" s="176"/>
      <c r="R86" s="177"/>
      <c r="S86" s="177"/>
      <c r="T86" s="175"/>
      <c r="U86" s="175"/>
      <c r="V86" s="178"/>
      <c r="W86" s="179"/>
      <c r="X86" s="180"/>
      <c r="Y86" s="174"/>
      <c r="Z86" s="181"/>
      <c r="AA86" s="94"/>
      <c r="AB86" s="182"/>
    </row>
    <row r="87" spans="1:28">
      <c r="A87" s="110"/>
      <c r="B87" s="110"/>
      <c r="C87" s="110"/>
      <c r="D87" s="3"/>
      <c r="E87" s="174"/>
      <c r="F87" s="174"/>
      <c r="G87" s="174"/>
      <c r="H87" s="174"/>
      <c r="I87" s="174"/>
      <c r="J87" s="174"/>
      <c r="K87" s="174"/>
      <c r="L87" s="174"/>
      <c r="M87" s="175"/>
      <c r="N87" s="175"/>
      <c r="O87" s="174"/>
      <c r="P87" s="176"/>
      <c r="Q87" s="176"/>
      <c r="R87" s="177"/>
      <c r="S87" s="177"/>
      <c r="T87" s="175"/>
      <c r="U87" s="175"/>
      <c r="V87" s="178"/>
      <c r="W87" s="179"/>
      <c r="X87" s="180"/>
      <c r="Y87" s="174"/>
      <c r="Z87" s="181"/>
      <c r="AA87" s="94"/>
      <c r="AB87" s="182"/>
    </row>
    <row r="88" spans="1:28">
      <c r="A88" s="110"/>
      <c r="B88" s="110"/>
      <c r="C88" s="110"/>
      <c r="D88" s="3"/>
      <c r="E88" s="174"/>
      <c r="F88" s="174"/>
      <c r="G88" s="174"/>
      <c r="H88" s="174"/>
      <c r="I88" s="174"/>
      <c r="J88" s="174"/>
      <c r="K88" s="174"/>
      <c r="L88" s="174"/>
      <c r="M88" s="175"/>
      <c r="N88" s="175"/>
      <c r="O88" s="174"/>
      <c r="P88" s="176"/>
      <c r="Q88" s="176"/>
      <c r="R88" s="177"/>
      <c r="S88" s="177"/>
      <c r="T88" s="175"/>
      <c r="U88" s="175"/>
      <c r="V88" s="178"/>
      <c r="W88" s="179"/>
      <c r="X88" s="180"/>
      <c r="Y88" s="174"/>
      <c r="Z88" s="181"/>
      <c r="AA88" s="94"/>
      <c r="AB88" s="182"/>
    </row>
    <row r="89" spans="1:28">
      <c r="A89" s="110"/>
      <c r="B89" s="110"/>
      <c r="C89" s="110"/>
      <c r="D89" s="195"/>
      <c r="E89" s="174"/>
      <c r="F89" s="174"/>
      <c r="G89" s="174"/>
      <c r="H89" s="174"/>
      <c r="I89" s="174"/>
      <c r="J89" s="174"/>
      <c r="K89" s="174"/>
      <c r="L89" s="174"/>
      <c r="M89" s="175"/>
      <c r="N89" s="175"/>
      <c r="O89" s="174"/>
      <c r="P89" s="176"/>
      <c r="Q89" s="176"/>
      <c r="R89" s="177"/>
      <c r="S89" s="177"/>
      <c r="T89" s="175"/>
      <c r="U89" s="175"/>
      <c r="V89" s="178"/>
      <c r="W89" s="179"/>
      <c r="X89" s="180"/>
      <c r="Y89" s="174"/>
      <c r="Z89" s="181"/>
      <c r="AA89" s="94"/>
      <c r="AB89" s="182"/>
    </row>
    <row r="90" spans="1:28">
      <c r="A90" s="110"/>
      <c r="B90" s="110"/>
      <c r="C90" s="110"/>
      <c r="D90" s="3"/>
      <c r="E90" s="174"/>
      <c r="F90" s="174"/>
      <c r="G90" s="174"/>
      <c r="H90" s="174"/>
      <c r="I90" s="174"/>
      <c r="J90" s="174"/>
      <c r="K90" s="174"/>
      <c r="L90" s="174"/>
      <c r="M90" s="175"/>
      <c r="N90" s="175"/>
      <c r="O90" s="174"/>
      <c r="P90" s="176"/>
      <c r="Q90" s="176"/>
      <c r="R90" s="177"/>
      <c r="S90" s="177"/>
      <c r="T90" s="175"/>
      <c r="U90" s="175"/>
      <c r="V90" s="178"/>
      <c r="W90" s="179"/>
      <c r="X90" s="180"/>
      <c r="Y90" s="174"/>
      <c r="Z90" s="181"/>
      <c r="AA90" s="94"/>
      <c r="AB90" s="182"/>
    </row>
    <row r="91" spans="1:28">
      <c r="A91" s="110"/>
      <c r="B91" s="110"/>
      <c r="C91" s="110"/>
      <c r="D91" s="3"/>
      <c r="E91" s="174"/>
      <c r="F91" s="174"/>
      <c r="G91" s="174"/>
      <c r="H91" s="174"/>
      <c r="I91" s="174"/>
      <c r="J91" s="174"/>
      <c r="K91" s="174"/>
      <c r="L91" s="174"/>
      <c r="M91" s="175"/>
      <c r="N91" s="175"/>
      <c r="O91" s="174"/>
      <c r="P91" s="176"/>
      <c r="Q91" s="176"/>
      <c r="R91" s="177"/>
      <c r="S91" s="177"/>
      <c r="T91" s="175"/>
      <c r="U91" s="175"/>
      <c r="V91" s="178"/>
      <c r="W91" s="179"/>
      <c r="X91" s="180"/>
      <c r="Y91" s="174"/>
      <c r="Z91" s="181"/>
      <c r="AA91" s="94"/>
      <c r="AB91" s="182"/>
    </row>
    <row r="92" spans="1:28">
      <c r="A92" s="110"/>
      <c r="B92" s="110"/>
      <c r="C92" s="110"/>
      <c r="D92" s="3"/>
      <c r="E92" s="174"/>
      <c r="F92" s="174"/>
      <c r="G92" s="174"/>
      <c r="H92" s="174"/>
      <c r="I92" s="174"/>
      <c r="J92" s="174"/>
      <c r="K92" s="174"/>
      <c r="L92" s="174"/>
      <c r="M92" s="175"/>
      <c r="N92" s="175"/>
      <c r="O92" s="174"/>
      <c r="P92" s="176"/>
      <c r="Q92" s="176"/>
      <c r="R92" s="177"/>
      <c r="S92" s="177"/>
      <c r="T92" s="175"/>
      <c r="U92" s="175"/>
      <c r="V92" s="178"/>
      <c r="W92" s="179"/>
      <c r="X92" s="180"/>
      <c r="Y92" s="174"/>
      <c r="Z92" s="181"/>
      <c r="AA92" s="94"/>
      <c r="AB92" s="182"/>
    </row>
    <row r="93" spans="1:28">
      <c r="A93" s="110"/>
      <c r="B93" s="110"/>
      <c r="C93" s="110"/>
      <c r="D93" s="3"/>
      <c r="E93" s="174"/>
      <c r="F93" s="174"/>
      <c r="G93" s="174"/>
      <c r="H93" s="174"/>
      <c r="I93" s="174"/>
      <c r="J93" s="174"/>
      <c r="K93" s="174"/>
      <c r="L93" s="174"/>
      <c r="M93" s="175"/>
      <c r="N93" s="175"/>
      <c r="O93" s="174"/>
      <c r="P93" s="176"/>
      <c r="Q93" s="176"/>
      <c r="R93" s="177"/>
      <c r="S93" s="177"/>
      <c r="T93" s="175"/>
      <c r="U93" s="175"/>
      <c r="V93" s="178"/>
      <c r="W93" s="179"/>
      <c r="X93" s="180"/>
      <c r="Y93" s="174"/>
      <c r="Z93" s="181"/>
      <c r="AA93" s="94"/>
      <c r="AB93" s="182"/>
    </row>
    <row r="94" spans="1:28">
      <c r="A94" s="110"/>
      <c r="B94" s="110"/>
      <c r="C94" s="110"/>
      <c r="D94" s="3"/>
      <c r="E94" s="174"/>
      <c r="F94" s="174"/>
      <c r="G94" s="174"/>
      <c r="H94" s="174"/>
      <c r="I94" s="174"/>
      <c r="J94" s="174"/>
      <c r="K94" s="174"/>
      <c r="L94" s="174"/>
      <c r="M94" s="175"/>
      <c r="N94" s="175"/>
      <c r="O94" s="174"/>
      <c r="P94" s="176"/>
      <c r="Q94" s="176"/>
      <c r="R94" s="177"/>
      <c r="S94" s="177"/>
      <c r="T94" s="175"/>
      <c r="U94" s="175"/>
      <c r="V94" s="178"/>
      <c r="W94" s="179"/>
      <c r="X94" s="180"/>
      <c r="Y94" s="174"/>
      <c r="Z94" s="181"/>
      <c r="AA94" s="94"/>
      <c r="AB94" s="182"/>
    </row>
    <row r="95" spans="1:28">
      <c r="A95" s="110"/>
      <c r="B95" s="110"/>
      <c r="C95" s="110"/>
      <c r="D95" s="3"/>
      <c r="E95" s="174"/>
      <c r="F95" s="174"/>
      <c r="G95" s="174"/>
      <c r="H95" s="174"/>
      <c r="I95" s="174"/>
      <c r="J95" s="174"/>
      <c r="K95" s="174"/>
      <c r="L95" s="174"/>
      <c r="M95" s="175"/>
      <c r="N95" s="175"/>
      <c r="O95" s="174"/>
      <c r="P95" s="176"/>
      <c r="Q95" s="176"/>
      <c r="R95" s="177"/>
      <c r="S95" s="177"/>
      <c r="T95" s="175"/>
      <c r="U95" s="175"/>
      <c r="V95" s="178"/>
      <c r="W95" s="179"/>
      <c r="X95" s="180"/>
      <c r="Y95" s="174"/>
      <c r="Z95" s="181"/>
      <c r="AA95" s="94"/>
      <c r="AB95" s="182"/>
    </row>
    <row r="96" spans="1:28">
      <c r="A96" s="110"/>
      <c r="B96" s="110"/>
      <c r="C96" s="110"/>
      <c r="D96" s="3"/>
      <c r="E96" s="174"/>
      <c r="F96" s="174"/>
      <c r="G96" s="174"/>
      <c r="H96" s="174"/>
      <c r="I96" s="174"/>
      <c r="J96" s="174"/>
      <c r="K96" s="174"/>
      <c r="L96" s="174"/>
      <c r="M96" s="175"/>
      <c r="N96" s="175"/>
      <c r="O96" s="174"/>
      <c r="P96" s="176"/>
      <c r="Q96" s="176"/>
      <c r="R96" s="177"/>
      <c r="S96" s="177"/>
      <c r="T96" s="175"/>
      <c r="U96" s="175"/>
      <c r="V96" s="178"/>
      <c r="W96" s="179"/>
      <c r="X96" s="180"/>
      <c r="Y96" s="174"/>
      <c r="Z96" s="181"/>
      <c r="AA96" s="94"/>
      <c r="AB96" s="182"/>
    </row>
    <row r="97" spans="1:28">
      <c r="A97" s="110"/>
      <c r="B97" s="110"/>
      <c r="C97" s="110"/>
      <c r="D97" s="3"/>
      <c r="E97" s="174"/>
      <c r="F97" s="174"/>
      <c r="G97" s="174"/>
      <c r="H97" s="174"/>
      <c r="I97" s="174"/>
      <c r="J97" s="174"/>
      <c r="K97" s="174"/>
      <c r="L97" s="174"/>
      <c r="M97" s="175"/>
      <c r="N97" s="175"/>
      <c r="O97" s="174"/>
      <c r="P97" s="176"/>
      <c r="Q97" s="176"/>
      <c r="R97" s="177"/>
      <c r="S97" s="177"/>
      <c r="T97" s="175"/>
      <c r="U97" s="175"/>
      <c r="V97" s="178"/>
      <c r="W97" s="179"/>
      <c r="X97" s="180"/>
      <c r="Y97" s="174"/>
      <c r="Z97" s="181"/>
      <c r="AA97" s="94"/>
      <c r="AB97" s="182"/>
    </row>
    <row r="98" spans="1:28">
      <c r="A98" s="110"/>
      <c r="B98" s="110"/>
      <c r="C98" s="110"/>
      <c r="D98" s="3"/>
      <c r="E98" s="174"/>
      <c r="F98" s="174"/>
      <c r="G98" s="174"/>
      <c r="H98" s="174"/>
      <c r="I98" s="174"/>
      <c r="J98" s="174"/>
      <c r="K98" s="174"/>
      <c r="L98" s="174"/>
      <c r="M98" s="175"/>
      <c r="N98" s="175"/>
      <c r="O98" s="174"/>
      <c r="P98" s="176"/>
      <c r="Q98" s="176"/>
      <c r="R98" s="177"/>
      <c r="S98" s="177"/>
      <c r="T98" s="175"/>
      <c r="U98" s="175"/>
      <c r="V98" s="178"/>
      <c r="W98" s="179"/>
      <c r="X98" s="180"/>
      <c r="Y98" s="174"/>
      <c r="Z98" s="181"/>
      <c r="AA98" s="94"/>
      <c r="AB98" s="182"/>
    </row>
    <row r="99" spans="1:28">
      <c r="A99" s="110"/>
      <c r="B99" s="110"/>
      <c r="C99" s="110"/>
      <c r="D99" s="3"/>
      <c r="E99" s="174"/>
      <c r="F99" s="174"/>
      <c r="G99" s="174"/>
      <c r="H99" s="174"/>
      <c r="I99" s="174"/>
      <c r="J99" s="174"/>
      <c r="K99" s="174"/>
      <c r="L99" s="174"/>
      <c r="M99" s="175"/>
      <c r="N99" s="175"/>
      <c r="O99" s="174"/>
      <c r="P99" s="176"/>
      <c r="Q99" s="176"/>
      <c r="R99" s="177"/>
      <c r="S99" s="177"/>
      <c r="T99" s="175"/>
      <c r="U99" s="175"/>
      <c r="V99" s="178"/>
      <c r="W99" s="179"/>
      <c r="X99" s="180"/>
      <c r="Y99" s="174"/>
      <c r="Z99" s="181"/>
      <c r="AA99" s="94"/>
      <c r="AB99" s="182"/>
    </row>
    <row r="100" spans="1:28">
      <c r="A100" s="110"/>
      <c r="B100" s="110"/>
      <c r="C100" s="110"/>
      <c r="D100" s="3"/>
      <c r="E100" s="174"/>
      <c r="F100" s="174"/>
      <c r="G100" s="174"/>
      <c r="H100" s="174"/>
      <c r="I100" s="174"/>
      <c r="J100" s="174"/>
      <c r="K100" s="174"/>
      <c r="L100" s="174"/>
      <c r="M100" s="175"/>
      <c r="N100" s="175"/>
      <c r="O100" s="174"/>
      <c r="P100" s="176"/>
      <c r="Q100" s="176"/>
      <c r="R100" s="177"/>
      <c r="S100" s="177"/>
      <c r="T100" s="175"/>
      <c r="U100" s="175"/>
      <c r="V100" s="178"/>
      <c r="W100" s="179"/>
      <c r="X100" s="180"/>
      <c r="Y100" s="174"/>
      <c r="Z100" s="181"/>
      <c r="AA100" s="94"/>
      <c r="AB100" s="182"/>
    </row>
    <row r="101" spans="1:28">
      <c r="A101" s="110"/>
      <c r="B101" s="110"/>
      <c r="C101" s="110"/>
      <c r="D101" s="3"/>
      <c r="E101" s="174"/>
      <c r="F101" s="174"/>
      <c r="G101" s="174"/>
      <c r="H101" s="174"/>
      <c r="I101" s="174"/>
      <c r="J101" s="174"/>
      <c r="K101" s="174"/>
      <c r="L101" s="174"/>
      <c r="M101" s="175"/>
      <c r="N101" s="175"/>
      <c r="O101" s="174"/>
      <c r="P101" s="176"/>
      <c r="Q101" s="176"/>
      <c r="R101" s="177"/>
      <c r="S101" s="177"/>
      <c r="T101" s="175"/>
      <c r="U101" s="175"/>
      <c r="V101" s="178"/>
      <c r="W101" s="179"/>
      <c r="X101" s="180"/>
      <c r="Y101" s="174"/>
      <c r="Z101" s="181"/>
      <c r="AA101" s="94"/>
      <c r="AB101" s="182"/>
    </row>
    <row r="102" spans="1:28">
      <c r="A102" s="110"/>
      <c r="B102" s="110"/>
      <c r="C102" s="110"/>
      <c r="D102" s="3"/>
      <c r="E102" s="174"/>
      <c r="F102" s="174"/>
      <c r="G102" s="174"/>
      <c r="H102" s="174"/>
      <c r="I102" s="174"/>
      <c r="J102" s="174"/>
      <c r="K102" s="174"/>
      <c r="L102" s="174"/>
      <c r="M102" s="175"/>
      <c r="N102" s="175"/>
      <c r="O102" s="174"/>
      <c r="P102" s="176"/>
      <c r="Q102" s="176"/>
      <c r="R102" s="177"/>
      <c r="S102" s="177"/>
      <c r="T102" s="175"/>
      <c r="U102" s="175"/>
      <c r="V102" s="178"/>
      <c r="W102" s="179"/>
      <c r="X102" s="180"/>
      <c r="Y102" s="174"/>
      <c r="Z102" s="181"/>
      <c r="AA102" s="94"/>
      <c r="AB102" s="182"/>
    </row>
    <row r="103" spans="1:28">
      <c r="A103" s="110"/>
      <c r="B103" s="110"/>
      <c r="C103" s="110"/>
      <c r="D103" s="3"/>
      <c r="E103" s="174"/>
      <c r="F103" s="174"/>
      <c r="G103" s="174"/>
      <c r="H103" s="174"/>
      <c r="I103" s="174"/>
      <c r="J103" s="174"/>
      <c r="K103" s="174"/>
      <c r="L103" s="174"/>
      <c r="M103" s="175"/>
      <c r="N103" s="175"/>
      <c r="O103" s="174"/>
      <c r="P103" s="176"/>
      <c r="Q103" s="176"/>
      <c r="R103" s="177"/>
      <c r="S103" s="177"/>
      <c r="T103" s="175"/>
      <c r="U103" s="175"/>
      <c r="V103" s="178"/>
      <c r="W103" s="179"/>
      <c r="X103" s="180"/>
      <c r="Y103" s="174"/>
      <c r="Z103" s="181"/>
      <c r="AA103" s="94"/>
      <c r="AB103" s="182"/>
    </row>
    <row r="104" spans="1:28">
      <c r="A104" s="110"/>
      <c r="B104" s="110"/>
      <c r="C104" s="110"/>
      <c r="D104" s="3"/>
      <c r="E104" s="174"/>
      <c r="F104" s="174"/>
      <c r="G104" s="174"/>
      <c r="H104" s="174"/>
      <c r="I104" s="174"/>
      <c r="J104" s="174"/>
      <c r="K104" s="174"/>
      <c r="L104" s="174"/>
      <c r="M104" s="175"/>
      <c r="N104" s="175"/>
      <c r="O104" s="174"/>
      <c r="P104" s="176"/>
      <c r="Q104" s="176"/>
      <c r="R104" s="177"/>
      <c r="S104" s="177"/>
      <c r="T104" s="175"/>
      <c r="U104" s="175"/>
      <c r="V104" s="178"/>
      <c r="W104" s="179"/>
      <c r="X104" s="180"/>
      <c r="Y104" s="174"/>
      <c r="Z104" s="181"/>
      <c r="AA104" s="94"/>
      <c r="AB104" s="182"/>
    </row>
    <row r="105" spans="1:28">
      <c r="A105" s="110"/>
      <c r="B105" s="110"/>
      <c r="C105" s="110"/>
      <c r="D105" s="3"/>
      <c r="E105" s="174"/>
      <c r="F105" s="174"/>
      <c r="G105" s="174"/>
      <c r="H105" s="174"/>
      <c r="I105" s="174"/>
      <c r="J105" s="174"/>
      <c r="K105" s="174"/>
      <c r="L105" s="174"/>
      <c r="M105" s="175"/>
      <c r="N105" s="175"/>
      <c r="O105" s="174"/>
      <c r="P105" s="176"/>
      <c r="Q105" s="176"/>
      <c r="R105" s="177"/>
      <c r="S105" s="177"/>
      <c r="T105" s="175"/>
      <c r="U105" s="175"/>
      <c r="V105" s="178"/>
      <c r="W105" s="179"/>
      <c r="X105" s="180"/>
      <c r="Y105" s="174"/>
      <c r="Z105" s="181"/>
      <c r="AA105" s="94"/>
      <c r="AB105" s="182"/>
    </row>
    <row r="106" spans="1:28">
      <c r="A106" s="110"/>
      <c r="B106" s="110"/>
      <c r="C106" s="110"/>
      <c r="D106" s="3"/>
      <c r="E106" s="174"/>
      <c r="F106" s="174"/>
      <c r="G106" s="174"/>
      <c r="H106" s="174"/>
      <c r="I106" s="174"/>
      <c r="J106" s="174"/>
      <c r="K106" s="174"/>
      <c r="L106" s="174"/>
      <c r="M106" s="175"/>
      <c r="N106" s="175"/>
      <c r="O106" s="174"/>
      <c r="P106" s="176"/>
      <c r="Q106" s="176"/>
      <c r="R106" s="177"/>
      <c r="S106" s="177"/>
      <c r="T106" s="175"/>
      <c r="U106" s="175"/>
      <c r="V106" s="178"/>
      <c r="W106" s="179"/>
      <c r="X106" s="180"/>
      <c r="Y106" s="174"/>
      <c r="Z106" s="181"/>
      <c r="AA106" s="94"/>
      <c r="AB106" s="182"/>
    </row>
    <row r="107" spans="1:28">
      <c r="A107" s="110"/>
      <c r="B107" s="110"/>
      <c r="C107" s="110"/>
      <c r="D107" s="3"/>
      <c r="E107" s="174"/>
      <c r="F107" s="174"/>
      <c r="G107" s="174"/>
      <c r="H107" s="174"/>
      <c r="I107" s="174"/>
      <c r="J107" s="174"/>
      <c r="K107" s="174"/>
      <c r="L107" s="174"/>
      <c r="M107" s="175"/>
      <c r="N107" s="175"/>
      <c r="O107" s="174"/>
      <c r="P107" s="176"/>
      <c r="Q107" s="176"/>
      <c r="R107" s="177"/>
      <c r="S107" s="177"/>
      <c r="T107" s="175"/>
      <c r="U107" s="175"/>
      <c r="V107" s="178"/>
      <c r="W107" s="179"/>
      <c r="X107" s="180"/>
      <c r="Y107" s="174"/>
      <c r="Z107" s="181"/>
      <c r="AA107" s="94"/>
      <c r="AB107" s="182"/>
    </row>
    <row r="108" spans="1:28">
      <c r="A108" s="110"/>
      <c r="B108" s="110"/>
      <c r="C108" s="110"/>
      <c r="D108" s="3"/>
      <c r="E108" s="174"/>
      <c r="F108" s="174"/>
      <c r="G108" s="174"/>
      <c r="H108" s="174"/>
      <c r="I108" s="174"/>
      <c r="J108" s="174"/>
      <c r="K108" s="174"/>
      <c r="L108" s="174"/>
      <c r="M108" s="175"/>
      <c r="N108" s="175"/>
      <c r="O108" s="174"/>
      <c r="P108" s="176"/>
      <c r="Q108" s="176"/>
      <c r="R108" s="177"/>
      <c r="S108" s="177"/>
      <c r="T108" s="175"/>
      <c r="U108" s="175"/>
      <c r="V108" s="178"/>
      <c r="W108" s="179"/>
      <c r="X108" s="180"/>
      <c r="Y108" s="174"/>
      <c r="Z108" s="181"/>
      <c r="AA108" s="94"/>
      <c r="AB108" s="182"/>
    </row>
    <row r="109" spans="1:28">
      <c r="A109" s="110"/>
      <c r="B109" s="110"/>
      <c r="C109" s="110"/>
      <c r="D109" s="3"/>
      <c r="E109" s="174"/>
      <c r="F109" s="174"/>
      <c r="G109" s="174"/>
      <c r="H109" s="174"/>
      <c r="I109" s="174"/>
      <c r="J109" s="174"/>
      <c r="K109" s="174"/>
      <c r="L109" s="174"/>
      <c r="M109" s="175"/>
      <c r="N109" s="175"/>
      <c r="O109" s="174"/>
      <c r="P109" s="176"/>
      <c r="Q109" s="176"/>
      <c r="R109" s="177"/>
      <c r="S109" s="177"/>
      <c r="T109" s="175"/>
      <c r="U109" s="175"/>
      <c r="V109" s="178"/>
      <c r="W109" s="179"/>
      <c r="X109" s="180"/>
      <c r="Y109" s="174"/>
      <c r="Z109" s="181"/>
      <c r="AA109" s="94"/>
      <c r="AB109" s="182"/>
    </row>
    <row r="110" spans="1:28">
      <c r="A110" s="110"/>
      <c r="B110" s="110"/>
      <c r="C110" s="110"/>
      <c r="D110" s="3"/>
      <c r="E110" s="174"/>
      <c r="F110" s="174"/>
      <c r="G110" s="174"/>
      <c r="H110" s="174"/>
      <c r="I110" s="174"/>
      <c r="J110" s="174"/>
      <c r="K110" s="174"/>
      <c r="L110" s="174"/>
      <c r="M110" s="175"/>
      <c r="N110" s="175"/>
      <c r="O110" s="174"/>
      <c r="P110" s="176"/>
      <c r="Q110" s="176"/>
      <c r="R110" s="177"/>
      <c r="S110" s="177"/>
      <c r="T110" s="175"/>
      <c r="U110" s="175"/>
      <c r="V110" s="178"/>
      <c r="W110" s="179"/>
      <c r="X110" s="180"/>
      <c r="Y110" s="174"/>
      <c r="Z110" s="181"/>
      <c r="AA110" s="94"/>
      <c r="AB110" s="182"/>
    </row>
    <row r="111" spans="1:28">
      <c r="A111" s="110"/>
      <c r="B111" s="110"/>
      <c r="C111" s="110"/>
      <c r="D111" s="3"/>
      <c r="E111" s="174"/>
      <c r="F111" s="174"/>
      <c r="G111" s="174"/>
      <c r="H111" s="174"/>
      <c r="I111" s="174"/>
      <c r="J111" s="174"/>
      <c r="K111" s="174"/>
      <c r="L111" s="174"/>
      <c r="M111" s="175"/>
      <c r="N111" s="175"/>
      <c r="O111" s="174"/>
      <c r="P111" s="176"/>
      <c r="Q111" s="176"/>
      <c r="R111" s="177"/>
      <c r="S111" s="177"/>
      <c r="T111" s="175"/>
      <c r="U111" s="175"/>
      <c r="V111" s="178"/>
      <c r="W111" s="179"/>
      <c r="X111" s="180"/>
      <c r="Y111" s="174"/>
      <c r="Z111" s="181"/>
      <c r="AA111" s="94"/>
      <c r="AB111" s="182"/>
    </row>
    <row r="112" spans="1:28">
      <c r="A112" s="110"/>
      <c r="B112" s="110"/>
      <c r="C112" s="110"/>
      <c r="D112" s="3"/>
      <c r="E112" s="174"/>
      <c r="F112" s="174"/>
      <c r="G112" s="174"/>
      <c r="H112" s="174"/>
      <c r="I112" s="174"/>
      <c r="J112" s="174"/>
      <c r="K112" s="174"/>
      <c r="L112" s="174"/>
      <c r="M112" s="175"/>
      <c r="N112" s="175"/>
      <c r="O112" s="174"/>
      <c r="P112" s="176"/>
      <c r="Q112" s="176"/>
      <c r="R112" s="177"/>
      <c r="S112" s="177"/>
      <c r="T112" s="175"/>
      <c r="U112" s="175"/>
      <c r="V112" s="178"/>
      <c r="W112" s="179"/>
      <c r="X112" s="180"/>
      <c r="Y112" s="174"/>
      <c r="Z112" s="181"/>
      <c r="AA112" s="94"/>
      <c r="AB112" s="182"/>
    </row>
    <row r="113" spans="1:28">
      <c r="A113" s="110"/>
      <c r="B113" s="110"/>
      <c r="C113" s="110"/>
      <c r="D113" s="3"/>
      <c r="E113" s="174"/>
      <c r="F113" s="174"/>
      <c r="G113" s="174"/>
      <c r="H113" s="174"/>
      <c r="I113" s="174"/>
      <c r="J113" s="174"/>
      <c r="K113" s="174"/>
      <c r="L113" s="174"/>
      <c r="M113" s="175"/>
      <c r="N113" s="175"/>
      <c r="O113" s="174"/>
      <c r="P113" s="176"/>
      <c r="Q113" s="176"/>
      <c r="R113" s="177"/>
      <c r="S113" s="177"/>
      <c r="T113" s="175"/>
      <c r="U113" s="175"/>
      <c r="V113" s="178"/>
      <c r="W113" s="179"/>
      <c r="X113" s="180"/>
      <c r="Y113" s="174"/>
      <c r="Z113" s="181"/>
      <c r="AA113" s="94"/>
      <c r="AB113" s="182"/>
    </row>
    <row r="114" spans="1:28">
      <c r="A114" s="110"/>
      <c r="B114" s="110"/>
      <c r="C114" s="110"/>
      <c r="D114" s="3"/>
      <c r="E114" s="174"/>
      <c r="F114" s="174"/>
      <c r="G114" s="174"/>
      <c r="H114" s="174"/>
      <c r="I114" s="174"/>
      <c r="J114" s="174"/>
      <c r="K114" s="174"/>
      <c r="L114" s="174"/>
      <c r="M114" s="175"/>
      <c r="N114" s="175"/>
      <c r="O114" s="174"/>
      <c r="P114" s="176"/>
      <c r="Q114" s="176"/>
      <c r="R114" s="177"/>
      <c r="S114" s="177"/>
      <c r="T114" s="175"/>
      <c r="U114" s="175"/>
      <c r="V114" s="178"/>
      <c r="W114" s="179"/>
      <c r="X114" s="180"/>
      <c r="Y114" s="174"/>
      <c r="Z114" s="181"/>
      <c r="AA114" s="94"/>
      <c r="AB114" s="182"/>
    </row>
    <row r="115" spans="1:28">
      <c r="A115" s="110"/>
      <c r="B115" s="110"/>
      <c r="C115" s="110"/>
      <c r="D115" s="3"/>
      <c r="E115" s="174"/>
      <c r="F115" s="174"/>
      <c r="G115" s="174"/>
      <c r="H115" s="174"/>
      <c r="I115" s="174"/>
      <c r="J115" s="174"/>
      <c r="K115" s="174"/>
      <c r="L115" s="174"/>
      <c r="M115" s="175"/>
      <c r="N115" s="175"/>
      <c r="O115" s="174"/>
      <c r="P115" s="176"/>
      <c r="Q115" s="176"/>
      <c r="R115" s="177"/>
      <c r="S115" s="177"/>
      <c r="T115" s="175"/>
      <c r="U115" s="175"/>
      <c r="V115" s="178"/>
      <c r="W115" s="179"/>
      <c r="X115" s="180"/>
      <c r="Y115" s="174"/>
      <c r="Z115" s="181"/>
      <c r="AA115" s="94"/>
      <c r="AB115" s="182"/>
    </row>
    <row r="116" spans="1:28">
      <c r="A116" s="110"/>
      <c r="B116" s="110"/>
      <c r="C116" s="110"/>
      <c r="D116" s="3"/>
      <c r="E116" s="174"/>
      <c r="F116" s="174"/>
      <c r="G116" s="174"/>
      <c r="H116" s="174"/>
      <c r="I116" s="174"/>
      <c r="J116" s="174"/>
      <c r="K116" s="174"/>
      <c r="L116" s="174"/>
      <c r="M116" s="175"/>
      <c r="N116" s="175"/>
      <c r="O116" s="174"/>
      <c r="P116" s="176"/>
      <c r="Q116" s="176"/>
      <c r="R116" s="177"/>
      <c r="S116" s="177"/>
      <c r="T116" s="175"/>
      <c r="U116" s="175"/>
      <c r="V116" s="178"/>
      <c r="W116" s="179"/>
      <c r="X116" s="180"/>
      <c r="Y116" s="174"/>
      <c r="Z116" s="181"/>
      <c r="AA116" s="94"/>
      <c r="AB116" s="182"/>
    </row>
    <row r="117" spans="1:28">
      <c r="A117" s="110"/>
      <c r="B117" s="110"/>
      <c r="C117" s="110"/>
      <c r="D117" s="3"/>
      <c r="E117" s="174"/>
      <c r="F117" s="174"/>
      <c r="G117" s="174"/>
      <c r="H117" s="174"/>
      <c r="I117" s="174"/>
      <c r="J117" s="174"/>
      <c r="K117" s="174"/>
      <c r="L117" s="174"/>
      <c r="M117" s="175"/>
      <c r="N117" s="175"/>
      <c r="O117" s="174"/>
      <c r="P117" s="176"/>
      <c r="Q117" s="176"/>
      <c r="R117" s="177"/>
      <c r="S117" s="177"/>
      <c r="T117" s="175"/>
      <c r="U117" s="175"/>
      <c r="V117" s="178"/>
      <c r="W117" s="179"/>
      <c r="X117" s="180"/>
      <c r="Y117" s="174"/>
      <c r="Z117" s="181"/>
      <c r="AA117" s="94"/>
      <c r="AB117" s="182"/>
    </row>
    <row r="118" spans="1:28">
      <c r="A118" s="110"/>
      <c r="B118" s="110"/>
      <c r="C118" s="110"/>
      <c r="D118" s="3"/>
      <c r="E118" s="174"/>
      <c r="F118" s="174"/>
      <c r="G118" s="174"/>
      <c r="H118" s="174"/>
      <c r="I118" s="174"/>
      <c r="J118" s="174"/>
      <c r="K118" s="174"/>
      <c r="L118" s="174"/>
      <c r="M118" s="175"/>
      <c r="N118" s="175"/>
      <c r="O118" s="174"/>
      <c r="P118" s="176"/>
      <c r="Q118" s="176"/>
      <c r="R118" s="177"/>
      <c r="S118" s="177"/>
      <c r="T118" s="175"/>
      <c r="U118" s="175"/>
      <c r="V118" s="178"/>
      <c r="W118" s="179"/>
      <c r="X118" s="180"/>
      <c r="Y118" s="174"/>
      <c r="Z118" s="181"/>
      <c r="AA118" s="94"/>
      <c r="AB118" s="182"/>
    </row>
    <row r="119" spans="1:28">
      <c r="A119" s="110"/>
      <c r="B119" s="110"/>
      <c r="C119" s="110"/>
      <c r="D119" s="3"/>
      <c r="E119" s="174"/>
      <c r="F119" s="174"/>
      <c r="G119" s="174"/>
      <c r="H119" s="174"/>
      <c r="I119" s="174"/>
      <c r="J119" s="174"/>
      <c r="K119" s="174"/>
      <c r="L119" s="174"/>
      <c r="M119" s="175"/>
      <c r="N119" s="175"/>
      <c r="O119" s="174"/>
      <c r="P119" s="176"/>
      <c r="Q119" s="176"/>
      <c r="R119" s="177"/>
      <c r="S119" s="177"/>
      <c r="T119" s="175"/>
      <c r="U119" s="175"/>
      <c r="V119" s="178"/>
      <c r="W119" s="179"/>
      <c r="X119" s="180"/>
      <c r="Y119" s="174"/>
      <c r="Z119" s="181"/>
      <c r="AA119" s="94"/>
      <c r="AB119" s="182"/>
    </row>
    <row r="120" spans="1:28">
      <c r="A120" s="110"/>
      <c r="B120" s="110"/>
      <c r="C120" s="110"/>
      <c r="D120" s="3"/>
      <c r="E120" s="174"/>
      <c r="F120" s="174"/>
      <c r="G120" s="174"/>
      <c r="H120" s="174"/>
      <c r="I120" s="174"/>
      <c r="J120" s="174"/>
      <c r="K120" s="174"/>
      <c r="L120" s="174"/>
      <c r="M120" s="175"/>
      <c r="N120" s="175"/>
      <c r="O120" s="174"/>
      <c r="P120" s="176"/>
      <c r="Q120" s="176"/>
      <c r="R120" s="177"/>
      <c r="S120" s="177"/>
      <c r="T120" s="175"/>
      <c r="U120" s="175"/>
      <c r="V120" s="178"/>
      <c r="W120" s="179"/>
      <c r="X120" s="180"/>
      <c r="Y120" s="174"/>
      <c r="Z120" s="181"/>
      <c r="AA120" s="94"/>
      <c r="AB120" s="182"/>
    </row>
    <row r="121" spans="1:28">
      <c r="A121" s="110"/>
      <c r="B121" s="110"/>
      <c r="C121" s="110"/>
      <c r="D121" s="3"/>
      <c r="E121" s="174"/>
      <c r="F121" s="174"/>
      <c r="G121" s="174"/>
      <c r="H121" s="174"/>
      <c r="I121" s="174"/>
      <c r="J121" s="174"/>
      <c r="K121" s="174"/>
      <c r="L121" s="174"/>
      <c r="M121" s="175"/>
      <c r="N121" s="175"/>
      <c r="O121" s="174"/>
      <c r="P121" s="176"/>
      <c r="Q121" s="176"/>
      <c r="R121" s="177"/>
      <c r="S121" s="177"/>
      <c r="T121" s="175"/>
      <c r="U121" s="175"/>
      <c r="V121" s="178"/>
      <c r="W121" s="179"/>
      <c r="X121" s="180"/>
      <c r="Y121" s="174"/>
      <c r="Z121" s="181"/>
      <c r="AA121" s="94"/>
      <c r="AB121" s="182"/>
    </row>
    <row r="122" spans="1:28">
      <c r="A122" s="110"/>
      <c r="B122" s="110"/>
      <c r="C122" s="110"/>
      <c r="D122" s="3"/>
      <c r="E122" s="174"/>
      <c r="F122" s="174"/>
      <c r="G122" s="174"/>
      <c r="H122" s="174"/>
      <c r="I122" s="174"/>
      <c r="J122" s="174"/>
      <c r="K122" s="174"/>
      <c r="L122" s="174"/>
      <c r="M122" s="175"/>
      <c r="N122" s="175"/>
      <c r="O122" s="174"/>
      <c r="P122" s="176"/>
      <c r="Q122" s="176"/>
      <c r="R122" s="177"/>
      <c r="S122" s="177"/>
      <c r="T122" s="175"/>
      <c r="U122" s="175"/>
      <c r="V122" s="178"/>
      <c r="W122" s="179"/>
      <c r="X122" s="180"/>
      <c r="Y122" s="174"/>
      <c r="Z122" s="181"/>
      <c r="AA122" s="94"/>
      <c r="AB122" s="182"/>
    </row>
    <row r="123" spans="1:28">
      <c r="A123" s="110"/>
      <c r="B123" s="110"/>
      <c r="C123" s="110"/>
      <c r="D123" s="3"/>
      <c r="E123" s="174"/>
      <c r="F123" s="174"/>
      <c r="G123" s="174"/>
      <c r="H123" s="174"/>
      <c r="I123" s="174"/>
      <c r="J123" s="174"/>
      <c r="K123" s="174"/>
      <c r="L123" s="174"/>
      <c r="M123" s="175"/>
      <c r="N123" s="175"/>
      <c r="O123" s="174"/>
      <c r="P123" s="176"/>
      <c r="Q123" s="176"/>
      <c r="R123" s="177"/>
      <c r="S123" s="177"/>
      <c r="T123" s="175"/>
      <c r="U123" s="175"/>
      <c r="V123" s="178"/>
      <c r="W123" s="179"/>
      <c r="X123" s="180"/>
      <c r="Y123" s="174"/>
      <c r="Z123" s="181"/>
      <c r="AA123" s="94"/>
      <c r="AB123" s="182"/>
    </row>
    <row r="124" spans="1:28">
      <c r="A124" s="110"/>
      <c r="B124" s="110"/>
      <c r="C124" s="110"/>
      <c r="D124" s="3"/>
      <c r="E124" s="174"/>
      <c r="F124" s="174"/>
      <c r="G124" s="174"/>
      <c r="H124" s="174"/>
      <c r="I124" s="174"/>
      <c r="J124" s="174"/>
      <c r="K124" s="174"/>
      <c r="L124" s="174"/>
      <c r="M124" s="175"/>
      <c r="N124" s="175"/>
      <c r="O124" s="174"/>
      <c r="P124" s="176"/>
      <c r="Q124" s="176"/>
      <c r="R124" s="177"/>
      <c r="S124" s="177"/>
      <c r="T124" s="175"/>
      <c r="U124" s="175"/>
      <c r="V124" s="178"/>
      <c r="W124" s="179"/>
      <c r="X124" s="180"/>
      <c r="Y124" s="174"/>
      <c r="Z124" s="181"/>
      <c r="AA124" s="94"/>
      <c r="AB124" s="182"/>
    </row>
    <row r="125" spans="1:28">
      <c r="A125" s="110"/>
      <c r="B125" s="110"/>
      <c r="C125" s="110"/>
      <c r="D125" s="3"/>
      <c r="E125" s="174"/>
      <c r="F125" s="174"/>
      <c r="G125" s="174"/>
      <c r="H125" s="174"/>
      <c r="I125" s="174"/>
      <c r="J125" s="174"/>
      <c r="K125" s="174"/>
      <c r="L125" s="174"/>
      <c r="M125" s="175"/>
      <c r="N125" s="175"/>
      <c r="O125" s="174"/>
      <c r="P125" s="176"/>
      <c r="Q125" s="176"/>
      <c r="R125" s="177"/>
      <c r="S125" s="177"/>
      <c r="T125" s="175"/>
      <c r="U125" s="175"/>
      <c r="V125" s="178"/>
      <c r="W125" s="179"/>
      <c r="X125" s="180"/>
      <c r="Y125" s="174"/>
      <c r="Z125" s="181"/>
      <c r="AA125" s="94"/>
      <c r="AB125" s="182"/>
    </row>
    <row r="126" spans="1:28">
      <c r="A126" s="110"/>
      <c r="B126" s="110"/>
      <c r="C126" s="110"/>
      <c r="D126" s="3"/>
      <c r="E126" s="174"/>
      <c r="F126" s="174"/>
      <c r="G126" s="174"/>
      <c r="H126" s="174"/>
      <c r="I126" s="174"/>
      <c r="J126" s="174"/>
      <c r="K126" s="174"/>
      <c r="L126" s="174"/>
      <c r="M126" s="175"/>
      <c r="N126" s="175"/>
      <c r="O126" s="174"/>
      <c r="P126" s="176"/>
      <c r="Q126" s="176"/>
      <c r="R126" s="177"/>
      <c r="S126" s="177"/>
      <c r="T126" s="175"/>
      <c r="U126" s="175"/>
      <c r="V126" s="178"/>
      <c r="W126" s="179"/>
      <c r="X126" s="180"/>
      <c r="Y126" s="174"/>
      <c r="Z126" s="181"/>
      <c r="AA126" s="94"/>
      <c r="AB126" s="182"/>
    </row>
    <row r="127" spans="1:28">
      <c r="A127" s="110"/>
      <c r="B127" s="110"/>
      <c r="C127" s="110"/>
      <c r="D127" s="3"/>
      <c r="E127" s="174"/>
      <c r="F127" s="174"/>
      <c r="G127" s="174"/>
      <c r="H127" s="174"/>
      <c r="I127" s="174"/>
      <c r="J127" s="174"/>
      <c r="K127" s="174"/>
      <c r="L127" s="174"/>
      <c r="M127" s="175"/>
      <c r="N127" s="175"/>
      <c r="O127" s="174"/>
      <c r="P127" s="176"/>
      <c r="Q127" s="176"/>
      <c r="R127" s="177"/>
      <c r="S127" s="177"/>
      <c r="T127" s="175"/>
      <c r="U127" s="175"/>
      <c r="V127" s="178"/>
      <c r="W127" s="179"/>
      <c r="X127" s="180"/>
      <c r="Y127" s="174"/>
      <c r="Z127" s="181"/>
      <c r="AA127" s="94"/>
      <c r="AB127" s="182"/>
    </row>
    <row r="128" spans="1:28">
      <c r="A128" s="110"/>
      <c r="B128" s="110"/>
      <c r="C128" s="110"/>
      <c r="D128" s="3"/>
      <c r="E128" s="174"/>
      <c r="F128" s="174"/>
      <c r="G128" s="174"/>
      <c r="H128" s="174"/>
      <c r="I128" s="174"/>
      <c r="J128" s="174"/>
      <c r="K128" s="174"/>
      <c r="L128" s="174"/>
      <c r="M128" s="175"/>
      <c r="N128" s="175"/>
      <c r="O128" s="174"/>
      <c r="P128" s="176"/>
      <c r="Q128" s="176"/>
      <c r="R128" s="177"/>
      <c r="S128" s="177"/>
      <c r="T128" s="175"/>
      <c r="U128" s="175"/>
      <c r="V128" s="178"/>
      <c r="W128" s="179"/>
      <c r="X128" s="180"/>
      <c r="Y128" s="174"/>
      <c r="Z128" s="181"/>
      <c r="AA128" s="94"/>
      <c r="AB128" s="182"/>
    </row>
    <row r="129" spans="1:28">
      <c r="A129" s="110"/>
      <c r="B129" s="110"/>
      <c r="C129" s="110"/>
      <c r="D129" s="3"/>
      <c r="E129" s="174"/>
      <c r="F129" s="174"/>
      <c r="G129" s="174"/>
      <c r="H129" s="174"/>
      <c r="I129" s="174"/>
      <c r="J129" s="174"/>
      <c r="K129" s="174"/>
      <c r="L129" s="174"/>
      <c r="M129" s="175"/>
      <c r="N129" s="175"/>
      <c r="O129" s="174"/>
      <c r="P129" s="176"/>
      <c r="Q129" s="176"/>
      <c r="R129" s="177"/>
      <c r="S129" s="177"/>
      <c r="T129" s="175"/>
      <c r="U129" s="175"/>
      <c r="V129" s="178"/>
      <c r="W129" s="179"/>
      <c r="X129" s="180"/>
      <c r="Y129" s="174"/>
      <c r="Z129" s="181"/>
      <c r="AA129" s="94"/>
      <c r="AB129" s="182"/>
    </row>
    <row r="130" spans="1:28">
      <c r="A130" s="160"/>
      <c r="B130" s="160"/>
      <c r="C130" s="160"/>
      <c r="D130" s="161"/>
      <c r="E130" s="162"/>
      <c r="F130" s="162"/>
      <c r="G130" s="162"/>
      <c r="H130" s="162"/>
      <c r="I130" s="162"/>
      <c r="J130" s="162"/>
      <c r="K130" s="162"/>
      <c r="L130" s="162"/>
      <c r="M130" s="163"/>
      <c r="N130" s="163"/>
      <c r="O130" s="162"/>
      <c r="P130" s="164"/>
      <c r="Q130" s="164"/>
      <c r="R130" s="165"/>
      <c r="S130" s="165"/>
      <c r="T130" s="163"/>
      <c r="U130" s="163"/>
      <c r="V130" s="166"/>
      <c r="W130" s="167"/>
      <c r="X130" s="168"/>
      <c r="Y130" s="162"/>
      <c r="Z130" s="169"/>
      <c r="AA130" s="170"/>
      <c r="AB130" s="171"/>
    </row>
  </sheetData>
  <sheetProtection formatCells="0" formatColumns="0" formatRows="0" insertColumns="0" insertRows="0" insertHyperlinks="0" deleteColumns="0" deleteRows="0" sort="0" autoFilter="0" pivotTables="0"/>
  <dataConsolidate/>
  <mergeCells count="32">
    <mergeCell ref="AB3:AB4"/>
    <mergeCell ref="T3:T4"/>
    <mergeCell ref="U3:U4"/>
    <mergeCell ref="V3:V4"/>
    <mergeCell ref="W3:W4"/>
    <mergeCell ref="X3:X4"/>
    <mergeCell ref="AA3:AA4"/>
    <mergeCell ref="D2:F2"/>
    <mergeCell ref="L3:L4"/>
    <mergeCell ref="M3:M4"/>
    <mergeCell ref="N3:N4"/>
    <mergeCell ref="Z3:Z4"/>
    <mergeCell ref="O3:O4"/>
    <mergeCell ref="P3:P4"/>
    <mergeCell ref="Q3:Q4"/>
    <mergeCell ref="R3:R4"/>
    <mergeCell ref="S3:S4"/>
    <mergeCell ref="Y3:Y4"/>
    <mergeCell ref="A3:A4"/>
    <mergeCell ref="B3:B4"/>
    <mergeCell ref="C3:C4"/>
    <mergeCell ref="D3:D4"/>
    <mergeCell ref="E3:K4"/>
    <mergeCell ref="AC3:AF3"/>
    <mergeCell ref="AC1:CA1"/>
    <mergeCell ref="AG3:AJ3"/>
    <mergeCell ref="AK3:AN3"/>
    <mergeCell ref="AO3:AR3"/>
    <mergeCell ref="AS3:AV3"/>
    <mergeCell ref="AW3:AZ3"/>
    <mergeCell ref="BA3:BD3"/>
    <mergeCell ref="BE3:BH3"/>
  </mergeCells>
  <phoneticPr fontId="8" type="noConversion"/>
  <conditionalFormatting sqref="D5:AB27">
    <cfRule type="expression" dxfId="1" priority="2">
      <formula>($B5="G")</formula>
    </cfRule>
    <cfRule type="expression" dxfId="0" priority="1">
      <formula>($AB5=1)</formula>
    </cfRule>
  </conditionalFormatting>
  <hyperlinks>
    <hyperlink ref="AC1:CA1" r:id="rId1" display="http://xlworks.net/" xr:uid="{AFEF78A5-5856-4498-BD10-BEA114DF0308}"/>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5"/>
  <cols>
    <col min="1" max="1" width="35.375" style="72" customWidth="1"/>
    <col min="2" max="2" width="13.25" style="70" customWidth="1"/>
    <col min="3" max="3" width="9.875" style="74" customWidth="1"/>
    <col min="4" max="4" width="31.375" style="74" customWidth="1"/>
    <col min="5" max="6" width="14.125" style="74" customWidth="1"/>
    <col min="7" max="7" width="28.375" style="74" customWidth="1"/>
    <col min="8" max="9" width="10" style="74"/>
    <col min="10" max="10" width="8.875" style="74" bestFit="1" customWidth="1"/>
    <col min="11" max="19" width="10" style="74"/>
    <col min="20" max="22" width="10" style="74" customWidth="1"/>
    <col min="23" max="23" width="10" style="74" hidden="1" customWidth="1"/>
    <col min="24" max="16384" width="10" style="74"/>
  </cols>
  <sheetData>
    <row r="1" spans="1:17" s="19" customFormat="1" ht="36.950000000000003" customHeight="1">
      <c r="A1" s="16" t="s">
        <v>1014</v>
      </c>
      <c r="B1" s="17"/>
      <c r="C1" s="17"/>
      <c r="D1" s="17"/>
      <c r="E1" s="17"/>
      <c r="F1" s="17"/>
      <c r="G1" s="17"/>
      <c r="H1" s="17"/>
      <c r="I1" s="17"/>
      <c r="J1" s="17"/>
      <c r="K1" s="17"/>
      <c r="L1" s="231"/>
      <c r="M1" s="232"/>
      <c r="N1" s="232"/>
      <c r="O1" s="18"/>
      <c r="P1" s="18"/>
      <c r="Q1" s="18"/>
    </row>
    <row r="2" spans="1:17" s="22" customFormat="1" ht="12.75">
      <c r="A2" s="20" t="s">
        <v>1000</v>
      </c>
      <c r="B2" s="21"/>
    </row>
    <row r="3" spans="1:17" s="22" customFormat="1" ht="12.75">
      <c r="A3" s="20" t="s">
        <v>1001</v>
      </c>
      <c r="B3" s="21"/>
    </row>
    <row r="4" spans="1:17" s="22" customFormat="1" ht="12.75">
      <c r="A4" s="233"/>
      <c r="B4" s="233"/>
      <c r="C4" s="23"/>
      <c r="D4" s="24"/>
      <c r="E4" s="24"/>
      <c r="F4" s="24"/>
    </row>
    <row r="5" spans="1:17" s="30" customFormat="1" ht="12.75">
      <c r="A5" s="25"/>
      <c r="B5" s="26"/>
      <c r="C5" s="27"/>
      <c r="D5" s="28"/>
      <c r="E5" s="29"/>
      <c r="F5" s="29"/>
      <c r="G5" s="29"/>
    </row>
    <row r="6" spans="1:17" s="30" customFormat="1" ht="12.75">
      <c r="A6" s="31" t="s">
        <v>1002</v>
      </c>
      <c r="B6" s="32">
        <v>464</v>
      </c>
      <c r="C6" s="30" t="s">
        <v>0</v>
      </c>
      <c r="D6" s="230" t="s">
        <v>1003</v>
      </c>
      <c r="E6" s="230"/>
      <c r="F6" s="230"/>
      <c r="G6" s="230"/>
    </row>
    <row r="7" spans="1:17" s="30" customFormat="1" ht="12.75">
      <c r="A7" s="33"/>
      <c r="B7" s="34"/>
      <c r="C7" s="35"/>
      <c r="D7" s="36"/>
      <c r="E7" s="36"/>
      <c r="F7" s="36"/>
      <c r="G7" s="36"/>
    </row>
    <row r="8" spans="1:17" s="30" customFormat="1" ht="12.75" customHeight="1">
      <c r="A8" s="37"/>
      <c r="B8" s="38"/>
      <c r="D8" s="39"/>
      <c r="E8" s="39"/>
      <c r="F8" s="39"/>
      <c r="G8" s="39"/>
      <c r="J8" s="40"/>
    </row>
    <row r="9" spans="1:17" s="30" customFormat="1" ht="12.75">
      <c r="A9" s="31" t="s">
        <v>1004</v>
      </c>
      <c r="B9" s="32">
        <v>20</v>
      </c>
      <c r="C9" s="30" t="s">
        <v>0</v>
      </c>
      <c r="D9" s="229" t="s">
        <v>1005</v>
      </c>
      <c r="E9" s="229"/>
      <c r="F9" s="229"/>
      <c r="G9" s="229"/>
    </row>
    <row r="10" spans="1:17" s="30" customFormat="1" ht="12.75">
      <c r="A10" s="41"/>
      <c r="B10" s="34"/>
      <c r="C10" s="35"/>
      <c r="D10" s="42"/>
      <c r="E10" s="42"/>
      <c r="F10" s="42"/>
      <c r="G10" s="42"/>
    </row>
    <row r="11" spans="1:17" s="30" customFormat="1" ht="13.5" customHeight="1">
      <c r="A11" s="43"/>
      <c r="B11" s="38"/>
      <c r="D11" s="39"/>
      <c r="E11" s="39"/>
      <c r="F11" s="39"/>
      <c r="G11" s="39"/>
    </row>
    <row r="12" spans="1:17" s="30" customFormat="1" ht="12.75" customHeight="1">
      <c r="A12" s="44" t="s">
        <v>999</v>
      </c>
      <c r="B12" s="32">
        <v>0</v>
      </c>
      <c r="C12" s="30" t="s">
        <v>0</v>
      </c>
      <c r="D12" s="229" t="s">
        <v>1063</v>
      </c>
      <c r="E12" s="229"/>
      <c r="F12" s="229"/>
      <c r="G12" s="229"/>
    </row>
    <row r="13" spans="1:17" s="47" customFormat="1" ht="12.75">
      <c r="A13" s="45"/>
      <c r="B13" s="34"/>
      <c r="C13" s="46"/>
      <c r="D13" s="42"/>
      <c r="E13" s="42"/>
      <c r="F13" s="42"/>
      <c r="G13" s="42"/>
      <c r="K13" s="48"/>
    </row>
    <row r="14" spans="1:17" s="47" customFormat="1" ht="14.25" customHeight="1">
      <c r="A14" s="43"/>
      <c r="B14" s="49"/>
      <c r="C14" s="50"/>
      <c r="D14" s="39"/>
      <c r="E14" s="39"/>
      <c r="F14" s="39"/>
      <c r="G14" s="39"/>
    </row>
    <row r="15" spans="1:17" s="30" customFormat="1" ht="12.75" customHeight="1">
      <c r="A15" s="44" t="s">
        <v>999</v>
      </c>
      <c r="B15" s="32"/>
      <c r="C15" s="30" t="s">
        <v>0</v>
      </c>
      <c r="D15" s="229" t="s">
        <v>1006</v>
      </c>
      <c r="E15" s="229"/>
      <c r="F15" s="229"/>
      <c r="G15" s="229"/>
    </row>
    <row r="16" spans="1:17" s="30" customFormat="1" ht="12.75">
      <c r="A16" s="45"/>
      <c r="B16" s="51"/>
      <c r="C16" s="52"/>
      <c r="D16" s="42"/>
      <c r="E16" s="42"/>
      <c r="F16" s="42"/>
      <c r="G16" s="42"/>
    </row>
    <row r="17" spans="1:7" s="47" customFormat="1" ht="12.75" customHeight="1">
      <c r="A17" s="53"/>
      <c r="B17" s="49"/>
      <c r="C17" s="50"/>
      <c r="D17" s="39"/>
      <c r="E17" s="39"/>
      <c r="F17" s="39"/>
      <c r="G17" s="39"/>
    </row>
    <row r="18" spans="1:7" s="30" customFormat="1" ht="12.75">
      <c r="A18" s="31" t="s">
        <v>1007</v>
      </c>
      <c r="B18" s="54">
        <v>4.3103448275862072E-2</v>
      </c>
      <c r="D18" s="229" t="s">
        <v>1008</v>
      </c>
      <c r="E18" s="229"/>
      <c r="F18" s="229"/>
      <c r="G18" s="229"/>
    </row>
    <row r="19" spans="1:7" s="30" customFormat="1" ht="12.75">
      <c r="A19" s="55"/>
      <c r="B19" s="51"/>
      <c r="C19" s="52"/>
      <c r="D19" s="42"/>
      <c r="E19" s="42"/>
      <c r="F19" s="42"/>
      <c r="G19" s="42"/>
    </row>
    <row r="20" spans="1:7" s="30" customFormat="1" ht="12.75" customHeight="1">
      <c r="A20" s="56"/>
      <c r="B20" s="26"/>
      <c r="C20" s="27"/>
      <c r="D20" s="39"/>
      <c r="E20" s="39"/>
      <c r="F20" s="39"/>
      <c r="G20" s="39"/>
    </row>
    <row r="21" spans="1:7" s="30" customFormat="1" ht="12.75">
      <c r="A21" s="31" t="s">
        <v>1009</v>
      </c>
      <c r="B21" s="54">
        <v>0</v>
      </c>
      <c r="D21" s="229" t="s">
        <v>1010</v>
      </c>
      <c r="E21" s="229"/>
      <c r="F21" s="229"/>
      <c r="G21" s="229"/>
    </row>
    <row r="22" spans="1:7" s="30" customFormat="1" ht="12.75">
      <c r="A22" s="57"/>
      <c r="B22" s="58"/>
      <c r="C22" s="59"/>
      <c r="D22" s="42"/>
      <c r="E22" s="42"/>
      <c r="F22" s="42"/>
      <c r="G22" s="42"/>
    </row>
    <row r="23" spans="1:7" s="30" customFormat="1" ht="13.5" customHeight="1">
      <c r="A23" s="60"/>
      <c r="B23" s="61"/>
      <c r="C23" s="62"/>
      <c r="D23" s="63"/>
      <c r="E23" s="63"/>
      <c r="F23" s="63"/>
      <c r="G23" s="63"/>
    </row>
    <row r="24" spans="1:7" s="30" customFormat="1" ht="12.75">
      <c r="A24" s="31" t="s">
        <v>1011</v>
      </c>
      <c r="B24" s="64">
        <f>ACTUAL_RATE-PLANNED_RATE</f>
        <v>-4.3103448275862072E-2</v>
      </c>
      <c r="D24" s="230" t="s">
        <v>1012</v>
      </c>
      <c r="E24" s="230"/>
      <c r="F24" s="230"/>
      <c r="G24" s="230"/>
    </row>
    <row r="25" spans="1:7" s="30" customFormat="1" ht="12.75">
      <c r="A25" s="65"/>
      <c r="B25" s="66"/>
      <c r="C25" s="67"/>
      <c r="D25" s="68"/>
      <c r="E25" s="68"/>
      <c r="F25" s="68"/>
      <c r="G25" s="68"/>
    </row>
    <row r="26" spans="1:7" s="71" customFormat="1">
      <c r="A26" s="69"/>
      <c r="B26" s="70"/>
    </row>
    <row r="27" spans="1:7">
      <c r="B27" s="73"/>
      <c r="G27" s="72"/>
    </row>
    <row r="28" spans="1:7">
      <c r="B28" s="75"/>
    </row>
    <row r="29" spans="1:7">
      <c r="B29" s="75"/>
    </row>
    <row r="30" spans="1:7">
      <c r="B30" s="76"/>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4"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F34"/>
  <sheetViews>
    <sheetView showGridLines="0" zoomScale="80" zoomScaleNormal="80" workbookViewId="0">
      <pane ySplit="1" topLeftCell="A2" activePane="bottomLeft" state="frozen"/>
      <selection pane="bottomLeft"/>
    </sheetView>
  </sheetViews>
  <sheetFormatPr defaultColWidth="9.125" defaultRowHeight="15"/>
  <cols>
    <col min="1" max="1" width="1.625" style="197" customWidth="1"/>
    <col min="2" max="3" width="10.625" style="197" bestFit="1" customWidth="1"/>
    <col min="4" max="4" width="9.125" style="197"/>
    <col min="5" max="5" width="10.625" style="197" customWidth="1"/>
    <col min="6" max="16384" width="9.125" style="197"/>
  </cols>
  <sheetData>
    <row r="1" spans="2:6" ht="36.950000000000003" customHeight="1">
      <c r="B1" s="77" t="s">
        <v>1096</v>
      </c>
    </row>
    <row r="2" spans="2:6">
      <c r="B2" s="197" t="s">
        <v>1097</v>
      </c>
    </row>
    <row r="3" spans="2:6">
      <c r="B3" s="197" t="s">
        <v>1098</v>
      </c>
    </row>
    <row r="6" spans="2:6" ht="30">
      <c r="B6" s="78" t="s">
        <v>1015</v>
      </c>
      <c r="C6" s="173" t="s">
        <v>1016</v>
      </c>
      <c r="D6" s="173" t="s">
        <v>1</v>
      </c>
      <c r="E6" s="173" t="s">
        <v>1099</v>
      </c>
      <c r="F6" s="196" t="s">
        <v>1100</v>
      </c>
    </row>
    <row r="7" spans="2:6">
      <c r="B7" s="236">
        <v>43520</v>
      </c>
      <c r="C7" s="236">
        <v>43526</v>
      </c>
      <c r="D7" s="237">
        <v>0</v>
      </c>
      <c r="E7" s="237">
        <f>D7</f>
        <v>0</v>
      </c>
      <c r="F7" s="240">
        <f t="shared" ref="F7:F33" si="0">E7/$D$34</f>
        <v>0</v>
      </c>
    </row>
    <row r="8" spans="2:6">
      <c r="B8" s="238">
        <v>43527</v>
      </c>
      <c r="C8" s="238">
        <v>43533</v>
      </c>
      <c r="D8" s="239">
        <v>10</v>
      </c>
      <c r="E8" s="239">
        <f>E7+D8</f>
        <v>10</v>
      </c>
      <c r="F8" s="241">
        <f t="shared" si="0"/>
        <v>3.0395136778115502E-2</v>
      </c>
    </row>
    <row r="9" spans="2:6">
      <c r="B9" s="238">
        <v>43534</v>
      </c>
      <c r="C9" s="238">
        <v>43540</v>
      </c>
      <c r="D9" s="239">
        <v>10</v>
      </c>
      <c r="E9" s="239">
        <f t="shared" ref="E9:E33" si="1">E8+D9</f>
        <v>20</v>
      </c>
      <c r="F9" s="241">
        <f t="shared" si="0"/>
        <v>6.0790273556231005E-2</v>
      </c>
    </row>
    <row r="10" spans="2:6">
      <c r="B10" s="238">
        <v>43541</v>
      </c>
      <c r="C10" s="238">
        <v>43547</v>
      </c>
      <c r="D10" s="239">
        <v>10</v>
      </c>
      <c r="E10" s="239">
        <f t="shared" si="1"/>
        <v>30</v>
      </c>
      <c r="F10" s="241">
        <f t="shared" si="0"/>
        <v>9.1185410334346503E-2</v>
      </c>
    </row>
    <row r="11" spans="2:6">
      <c r="B11" s="238">
        <v>43548</v>
      </c>
      <c r="C11" s="238">
        <v>43554</v>
      </c>
      <c r="D11" s="239">
        <v>10</v>
      </c>
      <c r="E11" s="239">
        <f t="shared" si="1"/>
        <v>40</v>
      </c>
      <c r="F11" s="241">
        <f t="shared" si="0"/>
        <v>0.12158054711246201</v>
      </c>
    </row>
    <row r="12" spans="2:6">
      <c r="B12" s="238">
        <v>43555</v>
      </c>
      <c r="C12" s="238">
        <v>43561</v>
      </c>
      <c r="D12" s="239">
        <v>20</v>
      </c>
      <c r="E12" s="239">
        <f t="shared" si="1"/>
        <v>60</v>
      </c>
      <c r="F12" s="241">
        <f t="shared" si="0"/>
        <v>0.18237082066869301</v>
      </c>
    </row>
    <row r="13" spans="2:6">
      <c r="B13" s="238">
        <v>43562</v>
      </c>
      <c r="C13" s="238">
        <v>43568</v>
      </c>
      <c r="D13" s="239">
        <v>20</v>
      </c>
      <c r="E13" s="239">
        <f t="shared" si="1"/>
        <v>80</v>
      </c>
      <c r="F13" s="241">
        <f t="shared" si="0"/>
        <v>0.24316109422492402</v>
      </c>
    </row>
    <row r="14" spans="2:6">
      <c r="B14" s="238">
        <v>43569</v>
      </c>
      <c r="C14" s="238">
        <v>43575</v>
      </c>
      <c r="D14" s="239">
        <v>15</v>
      </c>
      <c r="E14" s="239">
        <f t="shared" si="1"/>
        <v>95</v>
      </c>
      <c r="F14" s="241">
        <f t="shared" si="0"/>
        <v>0.28875379939209728</v>
      </c>
    </row>
    <row r="15" spans="2:6">
      <c r="B15" s="238">
        <v>43576</v>
      </c>
      <c r="C15" s="238">
        <v>43582</v>
      </c>
      <c r="D15" s="239">
        <v>15</v>
      </c>
      <c r="E15" s="239">
        <f t="shared" si="1"/>
        <v>110</v>
      </c>
      <c r="F15" s="241">
        <f t="shared" si="0"/>
        <v>0.33434650455927051</v>
      </c>
    </row>
    <row r="16" spans="2:6">
      <c r="B16" s="238">
        <v>43583</v>
      </c>
      <c r="C16" s="238">
        <v>43589</v>
      </c>
      <c r="D16" s="239">
        <v>15</v>
      </c>
      <c r="E16" s="239">
        <f t="shared" si="1"/>
        <v>125</v>
      </c>
      <c r="F16" s="241">
        <f t="shared" si="0"/>
        <v>0.37993920972644379</v>
      </c>
    </row>
    <row r="17" spans="2:6">
      <c r="B17" s="238">
        <v>43590</v>
      </c>
      <c r="C17" s="238">
        <v>43596</v>
      </c>
      <c r="D17" s="239">
        <v>12</v>
      </c>
      <c r="E17" s="239">
        <f t="shared" si="1"/>
        <v>137</v>
      </c>
      <c r="F17" s="241">
        <f t="shared" si="0"/>
        <v>0.41641337386018235</v>
      </c>
    </row>
    <row r="18" spans="2:6">
      <c r="B18" s="238">
        <v>43597</v>
      </c>
      <c r="C18" s="238">
        <v>43603</v>
      </c>
      <c r="D18" s="239">
        <v>15</v>
      </c>
      <c r="E18" s="239">
        <f t="shared" si="1"/>
        <v>152</v>
      </c>
      <c r="F18" s="241">
        <f t="shared" si="0"/>
        <v>0.46200607902735563</v>
      </c>
    </row>
    <row r="19" spans="2:6">
      <c r="B19" s="238">
        <v>43604</v>
      </c>
      <c r="C19" s="238">
        <v>43610</v>
      </c>
      <c r="D19" s="239">
        <v>15</v>
      </c>
      <c r="E19" s="239">
        <f t="shared" si="1"/>
        <v>167</v>
      </c>
      <c r="F19" s="241">
        <f t="shared" si="0"/>
        <v>0.50759878419452886</v>
      </c>
    </row>
    <row r="20" spans="2:6">
      <c r="B20" s="238">
        <v>43611</v>
      </c>
      <c r="C20" s="238">
        <v>43617</v>
      </c>
      <c r="D20" s="239">
        <v>15</v>
      </c>
      <c r="E20" s="239">
        <f t="shared" si="1"/>
        <v>182</v>
      </c>
      <c r="F20" s="241">
        <f t="shared" si="0"/>
        <v>0.55319148936170215</v>
      </c>
    </row>
    <row r="21" spans="2:6">
      <c r="B21" s="238">
        <v>43618</v>
      </c>
      <c r="C21" s="238">
        <v>43624</v>
      </c>
      <c r="D21" s="239">
        <v>12</v>
      </c>
      <c r="E21" s="239">
        <f t="shared" si="1"/>
        <v>194</v>
      </c>
      <c r="F21" s="241">
        <f t="shared" si="0"/>
        <v>0.58966565349544076</v>
      </c>
    </row>
    <row r="22" spans="2:6">
      <c r="B22" s="238">
        <v>43625</v>
      </c>
      <c r="C22" s="238">
        <v>43631</v>
      </c>
      <c r="D22" s="239">
        <v>15</v>
      </c>
      <c r="E22" s="239">
        <f t="shared" si="1"/>
        <v>209</v>
      </c>
      <c r="F22" s="241">
        <f t="shared" si="0"/>
        <v>0.63525835866261393</v>
      </c>
    </row>
    <row r="23" spans="2:6">
      <c r="B23" s="238">
        <v>43632</v>
      </c>
      <c r="C23" s="238">
        <v>43638</v>
      </c>
      <c r="D23" s="239">
        <v>15</v>
      </c>
      <c r="E23" s="239">
        <f t="shared" si="1"/>
        <v>224</v>
      </c>
      <c r="F23" s="241">
        <f t="shared" si="0"/>
        <v>0.68085106382978722</v>
      </c>
    </row>
    <row r="24" spans="2:6">
      <c r="B24" s="238">
        <v>43639</v>
      </c>
      <c r="C24" s="238">
        <v>43645</v>
      </c>
      <c r="D24" s="239">
        <v>15</v>
      </c>
      <c r="E24" s="239">
        <f t="shared" si="1"/>
        <v>239</v>
      </c>
      <c r="F24" s="241">
        <f t="shared" si="0"/>
        <v>0.7264437689969605</v>
      </c>
    </row>
    <row r="25" spans="2:6">
      <c r="B25" s="238">
        <v>43646</v>
      </c>
      <c r="C25" s="238">
        <v>43652</v>
      </c>
      <c r="D25" s="239">
        <v>15</v>
      </c>
      <c r="E25" s="239">
        <f t="shared" si="1"/>
        <v>254</v>
      </c>
      <c r="F25" s="241">
        <f t="shared" si="0"/>
        <v>0.77203647416413379</v>
      </c>
    </row>
    <row r="26" spans="2:6">
      <c r="B26" s="238">
        <v>43653</v>
      </c>
      <c r="C26" s="238">
        <v>43659</v>
      </c>
      <c r="D26" s="239">
        <v>15</v>
      </c>
      <c r="E26" s="239">
        <f t="shared" si="1"/>
        <v>269</v>
      </c>
      <c r="F26" s="241">
        <f t="shared" si="0"/>
        <v>0.81762917933130697</v>
      </c>
    </row>
    <row r="27" spans="2:6">
      <c r="B27" s="238">
        <v>43660</v>
      </c>
      <c r="C27" s="238">
        <v>43666</v>
      </c>
      <c r="D27" s="239">
        <v>15</v>
      </c>
      <c r="E27" s="239">
        <f t="shared" si="1"/>
        <v>284</v>
      </c>
      <c r="F27" s="241">
        <f t="shared" si="0"/>
        <v>0.86322188449848025</v>
      </c>
    </row>
    <row r="28" spans="2:6">
      <c r="B28" s="238">
        <v>43667</v>
      </c>
      <c r="C28" s="238">
        <v>43673</v>
      </c>
      <c r="D28" s="239">
        <v>15</v>
      </c>
      <c r="E28" s="239">
        <f t="shared" si="1"/>
        <v>299</v>
      </c>
      <c r="F28" s="241">
        <f t="shared" si="0"/>
        <v>0.90881458966565354</v>
      </c>
    </row>
    <row r="29" spans="2:6">
      <c r="B29" s="238">
        <v>43674</v>
      </c>
      <c r="C29" s="238">
        <v>43680</v>
      </c>
      <c r="D29" s="239">
        <v>11</v>
      </c>
      <c r="E29" s="239">
        <f t="shared" si="1"/>
        <v>310</v>
      </c>
      <c r="F29" s="241">
        <f t="shared" si="0"/>
        <v>0.94224924012158051</v>
      </c>
    </row>
    <row r="30" spans="2:6">
      <c r="B30" s="238">
        <v>43681</v>
      </c>
      <c r="C30" s="238">
        <v>43687</v>
      </c>
      <c r="D30" s="239">
        <v>5</v>
      </c>
      <c r="E30" s="239">
        <f t="shared" si="1"/>
        <v>315</v>
      </c>
      <c r="F30" s="241">
        <f t="shared" si="0"/>
        <v>0.95744680851063835</v>
      </c>
    </row>
    <row r="31" spans="2:6">
      <c r="B31" s="238">
        <v>43688</v>
      </c>
      <c r="C31" s="238">
        <v>43694</v>
      </c>
      <c r="D31" s="239">
        <v>4</v>
      </c>
      <c r="E31" s="239">
        <f t="shared" si="1"/>
        <v>319</v>
      </c>
      <c r="F31" s="241">
        <f t="shared" si="0"/>
        <v>0.96960486322188455</v>
      </c>
    </row>
    <row r="32" spans="2:6">
      <c r="B32" s="238">
        <v>43695</v>
      </c>
      <c r="C32" s="238">
        <v>43701</v>
      </c>
      <c r="D32" s="239">
        <v>5</v>
      </c>
      <c r="E32" s="239">
        <f t="shared" si="1"/>
        <v>324</v>
      </c>
      <c r="F32" s="241">
        <f t="shared" si="0"/>
        <v>0.98480243161094227</v>
      </c>
    </row>
    <row r="33" spans="2:6">
      <c r="B33" s="238">
        <v>43702</v>
      </c>
      <c r="C33" s="238">
        <v>43708</v>
      </c>
      <c r="D33" s="239">
        <v>5</v>
      </c>
      <c r="E33" s="239">
        <f t="shared" si="1"/>
        <v>329</v>
      </c>
      <c r="F33" s="241">
        <f t="shared" si="0"/>
        <v>1</v>
      </c>
    </row>
    <row r="34" spans="2:6">
      <c r="C34" s="197" t="s">
        <v>3</v>
      </c>
      <c r="D34" s="197">
        <f>SUM(D7:D33)</f>
        <v>329</v>
      </c>
    </row>
  </sheetData>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5"/>
  <cols>
    <col min="1" max="1" width="31.625" style="79" customWidth="1"/>
    <col min="2" max="2" width="14.5" style="79" customWidth="1"/>
    <col min="3" max="3" width="7.625" style="79" customWidth="1"/>
    <col min="4" max="4" width="21.5" style="79" customWidth="1"/>
    <col min="5" max="5" width="14.125" style="79" customWidth="1"/>
    <col min="6" max="6" width="10" style="79"/>
    <col min="7" max="7" width="24.25" style="79" customWidth="1"/>
    <col min="8" max="8" width="18.375" style="79" bestFit="1" customWidth="1"/>
    <col min="9" max="9" width="11.125" style="79" bestFit="1" customWidth="1"/>
    <col min="10" max="10" width="27.375" style="79" bestFit="1" customWidth="1"/>
    <col min="11" max="19" width="10" style="79"/>
    <col min="20" max="23" width="10" style="79" customWidth="1"/>
    <col min="24" max="16384" width="10" style="79"/>
  </cols>
  <sheetData>
    <row r="1" spans="1:9" ht="36.950000000000003" customHeight="1">
      <c r="A1" s="16" t="s">
        <v>1017</v>
      </c>
      <c r="B1" s="16"/>
      <c r="C1" s="16"/>
      <c r="D1" s="16"/>
      <c r="E1" s="16"/>
      <c r="F1" s="16"/>
      <c r="G1" s="16"/>
      <c r="H1" s="16"/>
    </row>
    <row r="2" spans="1:9" s="80" customFormat="1" ht="78.75" customHeight="1">
      <c r="A2" s="234" t="s">
        <v>1018</v>
      </c>
      <c r="B2" s="234"/>
      <c r="C2" s="234"/>
      <c r="D2" s="234"/>
      <c r="E2" s="234"/>
      <c r="F2" s="234"/>
      <c r="G2" s="234"/>
      <c r="H2" s="234"/>
    </row>
    <row r="3" spans="1:9" s="80" customFormat="1" ht="24.75" customHeight="1">
      <c r="A3" s="235" t="s">
        <v>1019</v>
      </c>
      <c r="B3" s="235"/>
      <c r="D3" s="235" t="s">
        <v>1020</v>
      </c>
      <c r="E3" s="235"/>
      <c r="G3" s="235" t="s">
        <v>1021</v>
      </c>
      <c r="H3" s="235"/>
    </row>
    <row r="4" spans="1:9" s="82" customFormat="1" ht="19.5" customHeight="1">
      <c r="A4" s="81" t="s">
        <v>1022</v>
      </c>
      <c r="B4" s="81" t="s">
        <v>1024</v>
      </c>
      <c r="D4" s="81" t="s">
        <v>1023</v>
      </c>
      <c r="E4" s="81" t="s">
        <v>1025</v>
      </c>
      <c r="G4" s="81" t="s">
        <v>1023</v>
      </c>
      <c r="H4" s="81" t="s">
        <v>1024</v>
      </c>
    </row>
    <row r="5" spans="1:9" ht="16.5">
      <c r="A5" s="112" t="s">
        <v>972</v>
      </c>
      <c r="B5" s="113">
        <v>43101</v>
      </c>
      <c r="C5" s="79" t="str">
        <f t="shared" ref="C5:C68" si="0">IF(B5&gt;0,TEXT(B5,"(aaa)"),"")</f>
        <v>(월)</v>
      </c>
      <c r="D5" s="83"/>
      <c r="E5" s="84"/>
      <c r="F5" s="79" t="str">
        <f t="shared" ref="F5:F68" si="1">IF(E5&gt;0,TEXT(E5,"(aaa)"),"")</f>
        <v/>
      </c>
      <c r="G5" s="83"/>
      <c r="H5" s="84"/>
      <c r="I5" s="79" t="str">
        <f t="shared" ref="I5:I68" si="2">IF(H5&gt;0,TEXT(H5,"(aaa)"),"")</f>
        <v/>
      </c>
    </row>
    <row r="6" spans="1:9" ht="16.5">
      <c r="A6" s="112" t="s">
        <v>973</v>
      </c>
      <c r="B6" s="113">
        <v>43146</v>
      </c>
      <c r="C6" s="79" t="str">
        <f t="shared" si="0"/>
        <v>(목)</v>
      </c>
      <c r="D6" s="83"/>
      <c r="E6" s="84"/>
      <c r="F6" s="79" t="str">
        <f t="shared" si="1"/>
        <v/>
      </c>
      <c r="G6" s="83"/>
      <c r="H6" s="84"/>
      <c r="I6" s="79" t="str">
        <f t="shared" si="2"/>
        <v/>
      </c>
    </row>
    <row r="7" spans="1:9" ht="16.5">
      <c r="A7" s="112" t="s">
        <v>974</v>
      </c>
      <c r="B7" s="113">
        <v>43147</v>
      </c>
      <c r="C7" s="79" t="str">
        <f t="shared" si="0"/>
        <v>(금)</v>
      </c>
      <c r="D7" s="83"/>
      <c r="E7" s="84"/>
      <c r="F7" s="79" t="str">
        <f t="shared" si="1"/>
        <v/>
      </c>
      <c r="G7" s="83"/>
      <c r="H7" s="84"/>
      <c r="I7" s="79" t="str">
        <f t="shared" si="2"/>
        <v/>
      </c>
    </row>
    <row r="8" spans="1:9" ht="16.5">
      <c r="A8" s="112" t="s">
        <v>975</v>
      </c>
      <c r="B8" s="113">
        <v>43160</v>
      </c>
      <c r="C8" s="79" t="str">
        <f t="shared" si="0"/>
        <v>(목)</v>
      </c>
      <c r="D8" s="83"/>
      <c r="E8" s="84"/>
      <c r="F8" s="79" t="str">
        <f t="shared" si="1"/>
        <v/>
      </c>
      <c r="G8" s="83"/>
      <c r="H8" s="84"/>
      <c r="I8" s="79" t="str">
        <f t="shared" si="2"/>
        <v/>
      </c>
    </row>
    <row r="9" spans="1:9" ht="16.5">
      <c r="A9" s="112" t="s">
        <v>893</v>
      </c>
      <c r="B9" s="113">
        <v>43227</v>
      </c>
      <c r="C9" s="79" t="str">
        <f t="shared" si="0"/>
        <v>(월)</v>
      </c>
      <c r="D9" s="83"/>
      <c r="E9" s="84"/>
      <c r="F9" s="79" t="str">
        <f t="shared" si="1"/>
        <v/>
      </c>
      <c r="G9" s="83"/>
      <c r="H9" s="84"/>
      <c r="I9" s="79" t="str">
        <f t="shared" si="2"/>
        <v/>
      </c>
    </row>
    <row r="10" spans="1:9" ht="16.5">
      <c r="A10" s="112" t="s">
        <v>894</v>
      </c>
      <c r="B10" s="113">
        <v>43242</v>
      </c>
      <c r="C10" s="79" t="str">
        <f t="shared" si="0"/>
        <v>(화)</v>
      </c>
      <c r="D10" s="83"/>
      <c r="E10" s="84"/>
      <c r="F10" s="79" t="str">
        <f t="shared" si="1"/>
        <v/>
      </c>
      <c r="G10" s="83"/>
      <c r="H10" s="84"/>
      <c r="I10" s="79" t="str">
        <f t="shared" si="2"/>
        <v/>
      </c>
    </row>
    <row r="11" spans="1:9" ht="16.5">
      <c r="A11" s="112" t="s">
        <v>895</v>
      </c>
      <c r="B11" s="113">
        <v>43257</v>
      </c>
      <c r="C11" s="79" t="str">
        <f t="shared" si="0"/>
        <v>(수)</v>
      </c>
      <c r="D11" s="83"/>
      <c r="E11" s="84"/>
      <c r="F11" s="79" t="str">
        <f t="shared" si="1"/>
        <v/>
      </c>
      <c r="G11" s="83"/>
      <c r="H11" s="84"/>
      <c r="I11" s="79" t="str">
        <f t="shared" si="2"/>
        <v/>
      </c>
    </row>
    <row r="12" spans="1:9" ht="16.5">
      <c r="A12" s="112" t="s">
        <v>896</v>
      </c>
      <c r="B12" s="113">
        <v>43327</v>
      </c>
      <c r="C12" s="79" t="str">
        <f t="shared" si="0"/>
        <v>(수)</v>
      </c>
      <c r="D12" s="83"/>
      <c r="E12" s="84"/>
      <c r="F12" s="79" t="str">
        <f t="shared" si="1"/>
        <v/>
      </c>
      <c r="G12" s="83"/>
      <c r="H12" s="84"/>
      <c r="I12" s="79" t="str">
        <f t="shared" si="2"/>
        <v/>
      </c>
    </row>
    <row r="13" spans="1:9" ht="16.5">
      <c r="A13" s="112" t="s">
        <v>897</v>
      </c>
      <c r="B13" s="113">
        <v>43367</v>
      </c>
      <c r="C13" s="79" t="str">
        <f t="shared" si="0"/>
        <v>(월)</v>
      </c>
      <c r="D13" s="83"/>
      <c r="E13" s="84"/>
      <c r="F13" s="79" t="str">
        <f t="shared" si="1"/>
        <v/>
      </c>
      <c r="G13" s="83"/>
      <c r="H13" s="84"/>
      <c r="I13" s="79" t="str">
        <f t="shared" si="2"/>
        <v/>
      </c>
    </row>
    <row r="14" spans="1:9" ht="16.5">
      <c r="A14" s="112" t="s">
        <v>898</v>
      </c>
      <c r="B14" s="113">
        <v>43368</v>
      </c>
      <c r="C14" s="79" t="str">
        <f t="shared" si="0"/>
        <v>(화)</v>
      </c>
      <c r="D14" s="83"/>
      <c r="E14" s="84"/>
      <c r="F14" s="79" t="str">
        <f t="shared" si="1"/>
        <v/>
      </c>
      <c r="G14" s="83"/>
      <c r="H14" s="84"/>
      <c r="I14" s="79" t="str">
        <f t="shared" si="2"/>
        <v/>
      </c>
    </row>
    <row r="15" spans="1:9" ht="16.5">
      <c r="A15" s="112" t="s">
        <v>899</v>
      </c>
      <c r="B15" s="113">
        <v>43369</v>
      </c>
      <c r="C15" s="79" t="str">
        <f t="shared" si="0"/>
        <v>(수)</v>
      </c>
      <c r="D15" s="83"/>
      <c r="E15" s="84"/>
      <c r="F15" s="79" t="str">
        <f t="shared" si="1"/>
        <v/>
      </c>
      <c r="G15" s="83"/>
      <c r="H15" s="84"/>
      <c r="I15" s="79" t="str">
        <f t="shared" si="2"/>
        <v/>
      </c>
    </row>
    <row r="16" spans="1:9" ht="16.5">
      <c r="A16" s="112" t="s">
        <v>900</v>
      </c>
      <c r="B16" s="113">
        <v>43376</v>
      </c>
      <c r="C16" s="79" t="str">
        <f t="shared" si="0"/>
        <v>(수)</v>
      </c>
      <c r="D16" s="83"/>
      <c r="E16" s="84"/>
      <c r="F16" s="79" t="str">
        <f t="shared" si="1"/>
        <v/>
      </c>
      <c r="G16" s="83"/>
      <c r="H16" s="84"/>
      <c r="I16" s="79" t="str">
        <f t="shared" si="2"/>
        <v/>
      </c>
    </row>
    <row r="17" spans="1:10" ht="16.5">
      <c r="A17" s="112" t="s">
        <v>901</v>
      </c>
      <c r="B17" s="113">
        <v>43382</v>
      </c>
      <c r="C17" s="79" t="str">
        <f t="shared" si="0"/>
        <v>(화)</v>
      </c>
      <c r="D17" s="83"/>
      <c r="E17" s="84"/>
      <c r="F17" s="79" t="str">
        <f t="shared" si="1"/>
        <v/>
      </c>
      <c r="G17" s="83"/>
      <c r="H17" s="84"/>
      <c r="I17" s="79" t="str">
        <f t="shared" si="2"/>
        <v/>
      </c>
    </row>
    <row r="18" spans="1:10" ht="16.5">
      <c r="A18" s="112" t="s">
        <v>902</v>
      </c>
      <c r="B18" s="113">
        <v>43459</v>
      </c>
      <c r="C18" s="79" t="str">
        <f t="shared" si="0"/>
        <v>(화)</v>
      </c>
      <c r="D18" s="83"/>
      <c r="E18" s="84"/>
      <c r="F18" s="79" t="str">
        <f t="shared" si="1"/>
        <v/>
      </c>
      <c r="G18" s="83"/>
      <c r="H18" s="84"/>
      <c r="I18" s="79" t="str">
        <f t="shared" si="2"/>
        <v/>
      </c>
    </row>
    <row r="19" spans="1:10" ht="16.5">
      <c r="A19" s="112" t="s">
        <v>976</v>
      </c>
      <c r="B19" s="113">
        <v>43466</v>
      </c>
      <c r="C19" s="79" t="str">
        <f t="shared" si="0"/>
        <v>(화)</v>
      </c>
      <c r="D19" s="83"/>
      <c r="E19" s="84"/>
      <c r="F19" s="79" t="str">
        <f t="shared" si="1"/>
        <v/>
      </c>
      <c r="G19" s="83"/>
      <c r="H19" s="84"/>
      <c r="I19" s="79" t="str">
        <f t="shared" si="2"/>
        <v/>
      </c>
      <c r="J19" s="85"/>
    </row>
    <row r="20" spans="1:10" ht="16.5">
      <c r="A20" s="112" t="s">
        <v>977</v>
      </c>
      <c r="B20" s="113">
        <v>43500</v>
      </c>
      <c r="C20" s="79" t="str">
        <f t="shared" si="0"/>
        <v>(월)</v>
      </c>
      <c r="D20" s="83"/>
      <c r="E20" s="84"/>
      <c r="F20" s="79" t="str">
        <f t="shared" si="1"/>
        <v/>
      </c>
      <c r="G20" s="83"/>
      <c r="H20" s="84"/>
      <c r="I20" s="79" t="str">
        <f t="shared" si="2"/>
        <v/>
      </c>
      <c r="J20" s="85"/>
    </row>
    <row r="21" spans="1:10" ht="16.5">
      <c r="A21" s="112" t="s">
        <v>978</v>
      </c>
      <c r="B21" s="113">
        <v>43501</v>
      </c>
      <c r="C21" s="79" t="str">
        <f t="shared" si="0"/>
        <v>(화)</v>
      </c>
      <c r="D21" s="83"/>
      <c r="E21" s="84"/>
      <c r="F21" s="79" t="str">
        <f t="shared" si="1"/>
        <v/>
      </c>
      <c r="G21" s="83"/>
      <c r="H21" s="84"/>
      <c r="I21" s="79" t="str">
        <f t="shared" si="2"/>
        <v/>
      </c>
    </row>
    <row r="22" spans="1:10" ht="16.5">
      <c r="A22" s="112" t="s">
        <v>977</v>
      </c>
      <c r="B22" s="113">
        <v>43502</v>
      </c>
      <c r="C22" s="79" t="str">
        <f t="shared" si="0"/>
        <v>(수)</v>
      </c>
      <c r="D22" s="83"/>
      <c r="E22" s="84"/>
      <c r="F22" s="79" t="str">
        <f t="shared" si="1"/>
        <v/>
      </c>
      <c r="G22" s="83"/>
      <c r="H22" s="84"/>
      <c r="I22" s="79" t="str">
        <f t="shared" si="2"/>
        <v/>
      </c>
    </row>
    <row r="23" spans="1:10" ht="16.5">
      <c r="A23" s="112" t="s">
        <v>979</v>
      </c>
      <c r="B23" s="113">
        <v>43525</v>
      </c>
      <c r="C23" s="79" t="str">
        <f t="shared" si="0"/>
        <v>(금)</v>
      </c>
      <c r="D23" s="83"/>
      <c r="E23" s="84"/>
      <c r="F23" s="79" t="str">
        <f t="shared" si="1"/>
        <v/>
      </c>
      <c r="G23" s="83"/>
      <c r="H23" s="84"/>
      <c r="I23" s="79" t="str">
        <f t="shared" si="2"/>
        <v/>
      </c>
    </row>
    <row r="24" spans="1:10" ht="16.5">
      <c r="A24" s="112" t="s">
        <v>980</v>
      </c>
      <c r="B24" s="113">
        <v>43591</v>
      </c>
      <c r="C24" s="79" t="str">
        <f t="shared" si="0"/>
        <v>(월)</v>
      </c>
      <c r="D24" s="83"/>
      <c r="E24" s="84"/>
      <c r="F24" s="79" t="str">
        <f t="shared" si="1"/>
        <v/>
      </c>
      <c r="G24" s="83"/>
      <c r="H24" s="84"/>
      <c r="I24" s="79" t="str">
        <f t="shared" si="2"/>
        <v/>
      </c>
    </row>
    <row r="25" spans="1:10" ht="16.5">
      <c r="A25" s="112" t="s">
        <v>981</v>
      </c>
      <c r="B25" s="113">
        <v>43622</v>
      </c>
      <c r="C25" s="79" t="str">
        <f t="shared" si="0"/>
        <v>(목)</v>
      </c>
      <c r="D25" s="83"/>
      <c r="E25" s="84"/>
      <c r="F25" s="79" t="str">
        <f t="shared" si="1"/>
        <v/>
      </c>
      <c r="G25" s="83"/>
      <c r="H25" s="84"/>
      <c r="I25" s="79" t="str">
        <f t="shared" si="2"/>
        <v/>
      </c>
    </row>
    <row r="26" spans="1:10" ht="16.5">
      <c r="A26" s="112" t="s">
        <v>982</v>
      </c>
      <c r="B26" s="113">
        <v>43692</v>
      </c>
      <c r="C26" s="79" t="str">
        <f t="shared" si="0"/>
        <v>(목)</v>
      </c>
      <c r="D26" s="83"/>
      <c r="E26" s="84"/>
      <c r="F26" s="79" t="str">
        <f t="shared" si="1"/>
        <v/>
      </c>
      <c r="G26" s="83"/>
      <c r="H26" s="84"/>
      <c r="I26" s="79" t="str">
        <f t="shared" si="2"/>
        <v/>
      </c>
    </row>
    <row r="27" spans="1:10" ht="16.5">
      <c r="A27" s="112" t="s">
        <v>983</v>
      </c>
      <c r="B27" s="113">
        <v>43720</v>
      </c>
      <c r="C27" s="79" t="str">
        <f t="shared" si="0"/>
        <v>(목)</v>
      </c>
      <c r="D27" s="83"/>
      <c r="E27" s="84"/>
      <c r="F27" s="79" t="str">
        <f t="shared" si="1"/>
        <v/>
      </c>
      <c r="G27" s="83"/>
      <c r="H27" s="84"/>
      <c r="I27" s="79" t="str">
        <f t="shared" si="2"/>
        <v/>
      </c>
    </row>
    <row r="28" spans="1:10" ht="16.5">
      <c r="A28" s="112" t="s">
        <v>984</v>
      </c>
      <c r="B28" s="113">
        <v>43721</v>
      </c>
      <c r="C28" s="79" t="str">
        <f t="shared" si="0"/>
        <v>(금)</v>
      </c>
      <c r="D28" s="83"/>
      <c r="E28" s="84"/>
      <c r="F28" s="79" t="str">
        <f t="shared" si="1"/>
        <v/>
      </c>
      <c r="G28" s="83"/>
      <c r="H28" s="84"/>
      <c r="I28" s="79" t="str">
        <f t="shared" si="2"/>
        <v/>
      </c>
    </row>
    <row r="29" spans="1:10" ht="16.5">
      <c r="A29" s="112" t="s">
        <v>985</v>
      </c>
      <c r="B29" s="113">
        <v>43741</v>
      </c>
      <c r="C29" s="79" t="str">
        <f t="shared" si="0"/>
        <v>(목)</v>
      </c>
      <c r="D29" s="83"/>
      <c r="E29" s="84"/>
      <c r="F29" s="79" t="str">
        <f t="shared" si="1"/>
        <v/>
      </c>
      <c r="G29" s="83"/>
      <c r="H29" s="84"/>
      <c r="I29" s="79" t="str">
        <f t="shared" si="2"/>
        <v/>
      </c>
    </row>
    <row r="30" spans="1:10" ht="16.5">
      <c r="A30" s="112" t="s">
        <v>986</v>
      </c>
      <c r="B30" s="113">
        <v>43747</v>
      </c>
      <c r="C30" s="79" t="str">
        <f t="shared" si="0"/>
        <v>(수)</v>
      </c>
      <c r="D30" s="83"/>
      <c r="E30" s="84"/>
      <c r="F30" s="79" t="str">
        <f t="shared" si="1"/>
        <v/>
      </c>
      <c r="G30" s="83"/>
      <c r="H30" s="84"/>
      <c r="I30" s="79" t="str">
        <f t="shared" si="2"/>
        <v/>
      </c>
    </row>
    <row r="31" spans="1:10" ht="16.5">
      <c r="A31" s="112" t="s">
        <v>987</v>
      </c>
      <c r="B31" s="113">
        <v>43824</v>
      </c>
      <c r="C31" s="79" t="str">
        <f t="shared" si="0"/>
        <v>(수)</v>
      </c>
      <c r="D31" s="83"/>
      <c r="E31" s="84"/>
      <c r="F31" s="79" t="str">
        <f t="shared" si="1"/>
        <v/>
      </c>
      <c r="G31" s="83"/>
      <c r="H31" s="84"/>
      <c r="I31" s="79" t="str">
        <f t="shared" si="2"/>
        <v/>
      </c>
    </row>
    <row r="32" spans="1:10">
      <c r="A32" s="112"/>
      <c r="B32" s="113"/>
      <c r="C32" s="79" t="str">
        <f t="shared" si="0"/>
        <v/>
      </c>
      <c r="D32" s="83"/>
      <c r="E32" s="84"/>
      <c r="F32" s="79" t="str">
        <f t="shared" si="1"/>
        <v/>
      </c>
      <c r="G32" s="83"/>
      <c r="H32" s="84"/>
      <c r="I32" s="79" t="str">
        <f t="shared" si="2"/>
        <v/>
      </c>
    </row>
    <row r="33" spans="1:9">
      <c r="A33" s="112"/>
      <c r="B33" s="113"/>
      <c r="C33" s="79" t="str">
        <f t="shared" si="0"/>
        <v/>
      </c>
      <c r="D33" s="83"/>
      <c r="E33" s="84"/>
      <c r="F33" s="79" t="str">
        <f t="shared" si="1"/>
        <v/>
      </c>
      <c r="G33" s="83"/>
      <c r="H33" s="84"/>
      <c r="I33" s="79" t="str">
        <f t="shared" si="2"/>
        <v/>
      </c>
    </row>
    <row r="34" spans="1:9">
      <c r="A34" s="112"/>
      <c r="B34" s="113"/>
      <c r="C34" s="79" t="str">
        <f t="shared" si="0"/>
        <v/>
      </c>
      <c r="D34" s="83"/>
      <c r="E34" s="84"/>
      <c r="F34" s="79" t="str">
        <f t="shared" si="1"/>
        <v/>
      </c>
      <c r="G34" s="83"/>
      <c r="H34" s="84"/>
      <c r="I34" s="79" t="str">
        <f t="shared" si="2"/>
        <v/>
      </c>
    </row>
    <row r="35" spans="1:9">
      <c r="A35" s="112"/>
      <c r="B35" s="113"/>
      <c r="C35" s="79" t="str">
        <f t="shared" si="0"/>
        <v/>
      </c>
      <c r="D35" s="83"/>
      <c r="E35" s="84"/>
      <c r="F35" s="79" t="str">
        <f t="shared" si="1"/>
        <v/>
      </c>
      <c r="G35" s="83"/>
      <c r="H35" s="84"/>
      <c r="I35" s="79" t="str">
        <f t="shared" si="2"/>
        <v/>
      </c>
    </row>
    <row r="36" spans="1:9">
      <c r="A36" s="112"/>
      <c r="B36" s="113"/>
      <c r="C36" s="79" t="str">
        <f t="shared" si="0"/>
        <v/>
      </c>
      <c r="D36" s="83"/>
      <c r="E36" s="84"/>
      <c r="F36" s="79" t="str">
        <f t="shared" si="1"/>
        <v/>
      </c>
      <c r="G36" s="83"/>
      <c r="H36" s="84"/>
      <c r="I36" s="79" t="str">
        <f t="shared" si="2"/>
        <v/>
      </c>
    </row>
    <row r="37" spans="1:9">
      <c r="A37" s="112"/>
      <c r="B37" s="113"/>
      <c r="C37" s="79" t="str">
        <f t="shared" si="0"/>
        <v/>
      </c>
      <c r="D37" s="83"/>
      <c r="E37" s="84"/>
      <c r="F37" s="79" t="str">
        <f t="shared" si="1"/>
        <v/>
      </c>
      <c r="G37" s="83"/>
      <c r="H37" s="84"/>
      <c r="I37" s="79" t="str">
        <f t="shared" si="2"/>
        <v/>
      </c>
    </row>
    <row r="38" spans="1:9">
      <c r="A38" s="112"/>
      <c r="B38" s="113"/>
      <c r="C38" s="79" t="str">
        <f t="shared" si="0"/>
        <v/>
      </c>
      <c r="D38" s="83"/>
      <c r="E38" s="84"/>
      <c r="F38" s="79" t="str">
        <f t="shared" si="1"/>
        <v/>
      </c>
      <c r="G38" s="83"/>
      <c r="H38" s="84"/>
      <c r="I38" s="79" t="str">
        <f t="shared" si="2"/>
        <v/>
      </c>
    </row>
    <row r="39" spans="1:9">
      <c r="A39" s="112"/>
      <c r="B39" s="113"/>
      <c r="C39" s="79" t="str">
        <f t="shared" si="0"/>
        <v/>
      </c>
      <c r="D39" s="83"/>
      <c r="E39" s="84"/>
      <c r="F39" s="79" t="str">
        <f t="shared" si="1"/>
        <v/>
      </c>
      <c r="G39" s="83"/>
      <c r="H39" s="84"/>
      <c r="I39" s="79" t="str">
        <f t="shared" si="2"/>
        <v/>
      </c>
    </row>
    <row r="40" spans="1:9">
      <c r="A40" s="112"/>
      <c r="B40" s="113"/>
      <c r="C40" s="79" t="str">
        <f t="shared" si="0"/>
        <v/>
      </c>
      <c r="D40" s="83"/>
      <c r="E40" s="84"/>
      <c r="F40" s="79" t="str">
        <f t="shared" si="1"/>
        <v/>
      </c>
      <c r="G40" s="83"/>
      <c r="H40" s="84"/>
      <c r="I40" s="79" t="str">
        <f t="shared" si="2"/>
        <v/>
      </c>
    </row>
    <row r="41" spans="1:9">
      <c r="A41" s="112"/>
      <c r="B41" s="113"/>
      <c r="C41" s="79" t="str">
        <f t="shared" si="0"/>
        <v/>
      </c>
      <c r="D41" s="83"/>
      <c r="E41" s="84"/>
      <c r="F41" s="79" t="str">
        <f t="shared" si="1"/>
        <v/>
      </c>
      <c r="G41" s="83"/>
      <c r="H41" s="84"/>
      <c r="I41" s="79" t="str">
        <f t="shared" si="2"/>
        <v/>
      </c>
    </row>
    <row r="42" spans="1:9">
      <c r="A42" s="112"/>
      <c r="B42" s="113"/>
      <c r="C42" s="79" t="str">
        <f t="shared" si="0"/>
        <v/>
      </c>
      <c r="D42" s="83"/>
      <c r="E42" s="84"/>
      <c r="F42" s="79" t="str">
        <f t="shared" si="1"/>
        <v/>
      </c>
      <c r="G42" s="83"/>
      <c r="H42" s="84"/>
      <c r="I42" s="79" t="str">
        <f t="shared" si="2"/>
        <v/>
      </c>
    </row>
    <row r="43" spans="1:9">
      <c r="A43" s="112"/>
      <c r="B43" s="113"/>
      <c r="C43" s="79" t="str">
        <f t="shared" si="0"/>
        <v/>
      </c>
      <c r="D43" s="83"/>
      <c r="E43" s="84"/>
      <c r="F43" s="79" t="str">
        <f t="shared" si="1"/>
        <v/>
      </c>
      <c r="G43" s="83"/>
      <c r="H43" s="84"/>
      <c r="I43" s="79" t="str">
        <f t="shared" si="2"/>
        <v/>
      </c>
    </row>
    <row r="44" spans="1:9">
      <c r="A44" s="112"/>
      <c r="B44" s="113"/>
      <c r="C44" s="79" t="str">
        <f t="shared" si="0"/>
        <v/>
      </c>
      <c r="D44" s="83"/>
      <c r="E44" s="84"/>
      <c r="F44" s="79" t="str">
        <f t="shared" si="1"/>
        <v/>
      </c>
      <c r="G44" s="83"/>
      <c r="H44" s="84"/>
      <c r="I44" s="79" t="str">
        <f t="shared" si="2"/>
        <v/>
      </c>
    </row>
    <row r="45" spans="1:9">
      <c r="A45" s="112"/>
      <c r="B45" s="113"/>
      <c r="C45" s="79" t="str">
        <f t="shared" si="0"/>
        <v/>
      </c>
      <c r="D45" s="83"/>
      <c r="E45" s="84"/>
      <c r="F45" s="79" t="str">
        <f t="shared" si="1"/>
        <v/>
      </c>
      <c r="G45" s="83"/>
      <c r="H45" s="84"/>
      <c r="I45" s="79" t="str">
        <f t="shared" si="2"/>
        <v/>
      </c>
    </row>
    <row r="46" spans="1:9">
      <c r="A46" s="112"/>
      <c r="B46" s="113"/>
      <c r="C46" s="79" t="str">
        <f t="shared" si="0"/>
        <v/>
      </c>
      <c r="D46" s="83"/>
      <c r="E46" s="84"/>
      <c r="F46" s="79" t="str">
        <f t="shared" si="1"/>
        <v/>
      </c>
      <c r="G46" s="83"/>
      <c r="H46" s="84"/>
      <c r="I46" s="79" t="str">
        <f t="shared" si="2"/>
        <v/>
      </c>
    </row>
    <row r="47" spans="1:9">
      <c r="A47" s="112"/>
      <c r="B47" s="113"/>
      <c r="C47" s="79" t="str">
        <f t="shared" si="0"/>
        <v/>
      </c>
      <c r="D47" s="83"/>
      <c r="E47" s="84"/>
      <c r="F47" s="79" t="str">
        <f t="shared" si="1"/>
        <v/>
      </c>
      <c r="G47" s="83"/>
      <c r="H47" s="84"/>
      <c r="I47" s="79" t="str">
        <f t="shared" si="2"/>
        <v/>
      </c>
    </row>
    <row r="48" spans="1:9">
      <c r="A48" s="112"/>
      <c r="B48" s="113"/>
      <c r="C48" s="79" t="str">
        <f t="shared" si="0"/>
        <v/>
      </c>
      <c r="D48" s="83"/>
      <c r="E48" s="84"/>
      <c r="F48" s="79" t="str">
        <f t="shared" si="1"/>
        <v/>
      </c>
      <c r="G48" s="83"/>
      <c r="H48" s="84"/>
      <c r="I48" s="79" t="str">
        <f t="shared" si="2"/>
        <v/>
      </c>
    </row>
    <row r="49" spans="1:9">
      <c r="A49" s="112"/>
      <c r="B49" s="113"/>
      <c r="C49" s="79" t="str">
        <f t="shared" si="0"/>
        <v/>
      </c>
      <c r="D49" s="83"/>
      <c r="E49" s="84"/>
      <c r="F49" s="79" t="str">
        <f t="shared" si="1"/>
        <v/>
      </c>
      <c r="G49" s="83"/>
      <c r="H49" s="84"/>
      <c r="I49" s="79" t="str">
        <f t="shared" si="2"/>
        <v/>
      </c>
    </row>
    <row r="50" spans="1:9">
      <c r="A50" s="112"/>
      <c r="B50" s="113"/>
      <c r="C50" s="79" t="str">
        <f t="shared" si="0"/>
        <v/>
      </c>
      <c r="D50" s="83"/>
      <c r="E50" s="84"/>
      <c r="F50" s="79" t="str">
        <f t="shared" si="1"/>
        <v/>
      </c>
      <c r="G50" s="83"/>
      <c r="H50" s="84"/>
      <c r="I50" s="79" t="str">
        <f t="shared" si="2"/>
        <v/>
      </c>
    </row>
    <row r="51" spans="1:9">
      <c r="A51" s="112"/>
      <c r="B51" s="113"/>
      <c r="C51" s="79" t="str">
        <f t="shared" si="0"/>
        <v/>
      </c>
      <c r="D51" s="83"/>
      <c r="E51" s="84"/>
      <c r="F51" s="79" t="str">
        <f t="shared" si="1"/>
        <v/>
      </c>
      <c r="G51" s="83"/>
      <c r="H51" s="84"/>
      <c r="I51" s="79" t="str">
        <f t="shared" si="2"/>
        <v/>
      </c>
    </row>
    <row r="52" spans="1:9">
      <c r="A52" s="112"/>
      <c r="B52" s="113"/>
      <c r="C52" s="79" t="str">
        <f t="shared" si="0"/>
        <v/>
      </c>
      <c r="D52" s="83"/>
      <c r="E52" s="84"/>
      <c r="F52" s="79" t="str">
        <f t="shared" si="1"/>
        <v/>
      </c>
      <c r="G52" s="83"/>
      <c r="H52" s="84"/>
      <c r="I52" s="79" t="str">
        <f t="shared" si="2"/>
        <v/>
      </c>
    </row>
    <row r="53" spans="1:9">
      <c r="A53" s="112"/>
      <c r="B53" s="113"/>
      <c r="C53" s="79" t="str">
        <f t="shared" si="0"/>
        <v/>
      </c>
      <c r="D53" s="83"/>
      <c r="E53" s="84"/>
      <c r="F53" s="79" t="str">
        <f t="shared" si="1"/>
        <v/>
      </c>
      <c r="G53" s="83"/>
      <c r="H53" s="84"/>
      <c r="I53" s="79" t="str">
        <f t="shared" si="2"/>
        <v/>
      </c>
    </row>
    <row r="54" spans="1:9">
      <c r="A54" s="112"/>
      <c r="B54" s="113"/>
      <c r="C54" s="79" t="str">
        <f t="shared" si="0"/>
        <v/>
      </c>
      <c r="D54" s="83"/>
      <c r="E54" s="84"/>
      <c r="F54" s="79" t="str">
        <f t="shared" si="1"/>
        <v/>
      </c>
      <c r="G54" s="83"/>
      <c r="H54" s="84"/>
      <c r="I54" s="79" t="str">
        <f t="shared" si="2"/>
        <v/>
      </c>
    </row>
    <row r="55" spans="1:9">
      <c r="A55" s="112"/>
      <c r="B55" s="113"/>
      <c r="C55" s="79" t="str">
        <f t="shared" si="0"/>
        <v/>
      </c>
      <c r="D55" s="83"/>
      <c r="E55" s="84"/>
      <c r="F55" s="79" t="str">
        <f t="shared" si="1"/>
        <v/>
      </c>
      <c r="G55" s="83"/>
      <c r="H55" s="84"/>
      <c r="I55" s="79" t="str">
        <f t="shared" si="2"/>
        <v/>
      </c>
    </row>
    <row r="56" spans="1:9">
      <c r="A56" s="112"/>
      <c r="B56" s="113"/>
      <c r="C56" s="79" t="str">
        <f t="shared" si="0"/>
        <v/>
      </c>
      <c r="D56" s="83"/>
      <c r="E56" s="84"/>
      <c r="F56" s="79" t="str">
        <f t="shared" si="1"/>
        <v/>
      </c>
      <c r="G56" s="83"/>
      <c r="H56" s="84"/>
      <c r="I56" s="79" t="str">
        <f t="shared" si="2"/>
        <v/>
      </c>
    </row>
    <row r="57" spans="1:9">
      <c r="A57" s="112"/>
      <c r="B57" s="113"/>
      <c r="C57" s="79" t="str">
        <f t="shared" si="0"/>
        <v/>
      </c>
      <c r="D57" s="83"/>
      <c r="E57" s="84"/>
      <c r="F57" s="79" t="str">
        <f t="shared" si="1"/>
        <v/>
      </c>
      <c r="G57" s="83"/>
      <c r="H57" s="84"/>
      <c r="I57" s="79" t="str">
        <f t="shared" si="2"/>
        <v/>
      </c>
    </row>
    <row r="58" spans="1:9">
      <c r="A58" s="112"/>
      <c r="B58" s="113"/>
      <c r="C58" s="79" t="str">
        <f t="shared" si="0"/>
        <v/>
      </c>
      <c r="D58" s="83"/>
      <c r="E58" s="84"/>
      <c r="F58" s="79" t="str">
        <f t="shared" si="1"/>
        <v/>
      </c>
      <c r="G58" s="83"/>
      <c r="H58" s="84"/>
      <c r="I58" s="79" t="str">
        <f t="shared" si="2"/>
        <v/>
      </c>
    </row>
    <row r="59" spans="1:9">
      <c r="A59" s="112"/>
      <c r="B59" s="113"/>
      <c r="C59" s="79" t="str">
        <f t="shared" si="0"/>
        <v/>
      </c>
      <c r="D59" s="83"/>
      <c r="E59" s="84"/>
      <c r="F59" s="79" t="str">
        <f t="shared" si="1"/>
        <v/>
      </c>
      <c r="G59" s="83"/>
      <c r="H59" s="84"/>
      <c r="I59" s="79" t="str">
        <f t="shared" si="2"/>
        <v/>
      </c>
    </row>
    <row r="60" spans="1:9">
      <c r="A60" s="112"/>
      <c r="B60" s="113"/>
      <c r="C60" s="79" t="str">
        <f t="shared" si="0"/>
        <v/>
      </c>
      <c r="D60" s="83"/>
      <c r="E60" s="84"/>
      <c r="F60" s="79" t="str">
        <f t="shared" si="1"/>
        <v/>
      </c>
      <c r="G60" s="83"/>
      <c r="H60" s="84"/>
      <c r="I60" s="79" t="str">
        <f t="shared" si="2"/>
        <v/>
      </c>
    </row>
    <row r="61" spans="1:9">
      <c r="A61" s="112"/>
      <c r="B61" s="113"/>
      <c r="C61" s="79" t="str">
        <f t="shared" si="0"/>
        <v/>
      </c>
      <c r="D61" s="83"/>
      <c r="E61" s="84"/>
      <c r="F61" s="79" t="str">
        <f t="shared" si="1"/>
        <v/>
      </c>
      <c r="G61" s="83"/>
      <c r="H61" s="84"/>
      <c r="I61" s="79" t="str">
        <f t="shared" si="2"/>
        <v/>
      </c>
    </row>
    <row r="62" spans="1:9">
      <c r="A62" s="112"/>
      <c r="B62" s="113"/>
      <c r="C62" s="79" t="str">
        <f t="shared" si="0"/>
        <v/>
      </c>
      <c r="D62" s="83"/>
      <c r="E62" s="84"/>
      <c r="F62" s="79" t="str">
        <f t="shared" si="1"/>
        <v/>
      </c>
      <c r="G62" s="83"/>
      <c r="H62" s="84"/>
      <c r="I62" s="79" t="str">
        <f t="shared" si="2"/>
        <v/>
      </c>
    </row>
    <row r="63" spans="1:9">
      <c r="A63" s="112"/>
      <c r="B63" s="113"/>
      <c r="C63" s="79" t="str">
        <f t="shared" si="0"/>
        <v/>
      </c>
      <c r="D63" s="83"/>
      <c r="E63" s="84"/>
      <c r="F63" s="79" t="str">
        <f t="shared" si="1"/>
        <v/>
      </c>
      <c r="G63" s="83"/>
      <c r="H63" s="84"/>
      <c r="I63" s="79" t="str">
        <f t="shared" si="2"/>
        <v/>
      </c>
    </row>
    <row r="64" spans="1:9">
      <c r="A64" s="112"/>
      <c r="B64" s="113"/>
      <c r="C64" s="79" t="str">
        <f t="shared" si="0"/>
        <v/>
      </c>
      <c r="D64" s="83"/>
      <c r="E64" s="84"/>
      <c r="F64" s="79" t="str">
        <f t="shared" si="1"/>
        <v/>
      </c>
      <c r="G64" s="83"/>
      <c r="H64" s="84"/>
      <c r="I64" s="79" t="str">
        <f t="shared" si="2"/>
        <v/>
      </c>
    </row>
    <row r="65" spans="1:9">
      <c r="A65" s="112"/>
      <c r="B65" s="113"/>
      <c r="C65" s="79" t="str">
        <f t="shared" si="0"/>
        <v/>
      </c>
      <c r="D65" s="83"/>
      <c r="E65" s="84"/>
      <c r="F65" s="79" t="str">
        <f t="shared" si="1"/>
        <v/>
      </c>
      <c r="G65" s="83"/>
      <c r="H65" s="84"/>
      <c r="I65" s="79" t="str">
        <f t="shared" si="2"/>
        <v/>
      </c>
    </row>
    <row r="66" spans="1:9">
      <c r="A66" s="112"/>
      <c r="B66" s="113"/>
      <c r="C66" s="79" t="str">
        <f t="shared" si="0"/>
        <v/>
      </c>
      <c r="D66" s="83"/>
      <c r="E66" s="84"/>
      <c r="F66" s="79" t="str">
        <f t="shared" si="1"/>
        <v/>
      </c>
      <c r="G66" s="83"/>
      <c r="H66" s="84"/>
      <c r="I66" s="79" t="str">
        <f t="shared" si="2"/>
        <v/>
      </c>
    </row>
    <row r="67" spans="1:9">
      <c r="A67" s="112"/>
      <c r="B67" s="113"/>
      <c r="C67" s="79" t="str">
        <f t="shared" si="0"/>
        <v/>
      </c>
      <c r="D67" s="83"/>
      <c r="E67" s="84"/>
      <c r="F67" s="79" t="str">
        <f t="shared" si="1"/>
        <v/>
      </c>
      <c r="G67" s="83"/>
      <c r="H67" s="84"/>
      <c r="I67" s="79" t="str">
        <f t="shared" si="2"/>
        <v/>
      </c>
    </row>
    <row r="68" spans="1:9">
      <c r="A68" s="112"/>
      <c r="B68" s="113"/>
      <c r="C68" s="79" t="str">
        <f t="shared" si="0"/>
        <v/>
      </c>
      <c r="D68" s="83"/>
      <c r="E68" s="84"/>
      <c r="F68" s="79" t="str">
        <f t="shared" si="1"/>
        <v/>
      </c>
      <c r="G68" s="83"/>
      <c r="H68" s="84"/>
      <c r="I68" s="79" t="str">
        <f t="shared" si="2"/>
        <v/>
      </c>
    </row>
    <row r="69" spans="1:9">
      <c r="A69" s="112"/>
      <c r="B69" s="113"/>
      <c r="C69" s="79" t="str">
        <f t="shared" ref="C69:C132" si="3">IF(B69&gt;0,TEXT(B69,"(aaa)"),"")</f>
        <v/>
      </c>
      <c r="D69" s="83"/>
      <c r="E69" s="84"/>
      <c r="F69" s="79" t="str">
        <f t="shared" ref="F69:F132" si="4">IF(E69&gt;0,TEXT(E69,"(aaa)"),"")</f>
        <v/>
      </c>
      <c r="G69" s="83"/>
      <c r="H69" s="84"/>
      <c r="I69" s="79" t="str">
        <f t="shared" ref="I69:I132" si="5">IF(H69&gt;0,TEXT(H69,"(aaa)"),"")</f>
        <v/>
      </c>
    </row>
    <row r="70" spans="1:9">
      <c r="A70" s="112"/>
      <c r="B70" s="113"/>
      <c r="C70" s="79" t="str">
        <f t="shared" si="3"/>
        <v/>
      </c>
      <c r="D70" s="83"/>
      <c r="E70" s="84"/>
      <c r="F70" s="79" t="str">
        <f t="shared" si="4"/>
        <v/>
      </c>
      <c r="G70" s="83"/>
      <c r="H70" s="84"/>
      <c r="I70" s="79" t="str">
        <f t="shared" si="5"/>
        <v/>
      </c>
    </row>
    <row r="71" spans="1:9">
      <c r="A71" s="112"/>
      <c r="B71" s="113"/>
      <c r="C71" s="79" t="str">
        <f t="shared" si="3"/>
        <v/>
      </c>
      <c r="D71" s="83"/>
      <c r="E71" s="84"/>
      <c r="F71" s="79" t="str">
        <f t="shared" si="4"/>
        <v/>
      </c>
      <c r="G71" s="83"/>
      <c r="H71" s="84"/>
      <c r="I71" s="79" t="str">
        <f t="shared" si="5"/>
        <v/>
      </c>
    </row>
    <row r="72" spans="1:9">
      <c r="A72" s="112"/>
      <c r="B72" s="113"/>
      <c r="C72" s="79" t="str">
        <f t="shared" si="3"/>
        <v/>
      </c>
      <c r="D72" s="83"/>
      <c r="E72" s="84"/>
      <c r="F72" s="79" t="str">
        <f t="shared" si="4"/>
        <v/>
      </c>
      <c r="G72" s="83"/>
      <c r="H72" s="84"/>
      <c r="I72" s="79" t="str">
        <f t="shared" si="5"/>
        <v/>
      </c>
    </row>
    <row r="73" spans="1:9">
      <c r="A73" s="112"/>
      <c r="B73" s="113"/>
      <c r="C73" s="79" t="str">
        <f t="shared" si="3"/>
        <v/>
      </c>
      <c r="D73" s="83"/>
      <c r="E73" s="84"/>
      <c r="F73" s="79" t="str">
        <f t="shared" si="4"/>
        <v/>
      </c>
      <c r="G73" s="83"/>
      <c r="H73" s="84"/>
      <c r="I73" s="79" t="str">
        <f t="shared" si="5"/>
        <v/>
      </c>
    </row>
    <row r="74" spans="1:9">
      <c r="A74" s="112"/>
      <c r="B74" s="113"/>
      <c r="C74" s="79" t="str">
        <f t="shared" si="3"/>
        <v/>
      </c>
      <c r="D74" s="83"/>
      <c r="E74" s="84"/>
      <c r="F74" s="79" t="str">
        <f t="shared" si="4"/>
        <v/>
      </c>
      <c r="G74" s="83"/>
      <c r="H74" s="84"/>
      <c r="I74" s="79" t="str">
        <f t="shared" si="5"/>
        <v/>
      </c>
    </row>
    <row r="75" spans="1:9">
      <c r="A75" s="112"/>
      <c r="B75" s="113"/>
      <c r="C75" s="79" t="str">
        <f t="shared" si="3"/>
        <v/>
      </c>
      <c r="D75" s="83"/>
      <c r="E75" s="84"/>
      <c r="F75" s="79" t="str">
        <f t="shared" si="4"/>
        <v/>
      </c>
      <c r="G75" s="83"/>
      <c r="H75" s="84"/>
      <c r="I75" s="79" t="str">
        <f t="shared" si="5"/>
        <v/>
      </c>
    </row>
    <row r="76" spans="1:9">
      <c r="A76" s="112"/>
      <c r="B76" s="113"/>
      <c r="C76" s="79" t="str">
        <f t="shared" si="3"/>
        <v/>
      </c>
      <c r="D76" s="83"/>
      <c r="E76" s="84"/>
      <c r="F76" s="79" t="str">
        <f t="shared" si="4"/>
        <v/>
      </c>
      <c r="G76" s="83"/>
      <c r="H76" s="84"/>
      <c r="I76" s="79" t="str">
        <f t="shared" si="5"/>
        <v/>
      </c>
    </row>
    <row r="77" spans="1:9">
      <c r="A77" s="112"/>
      <c r="B77" s="113"/>
      <c r="C77" s="79" t="str">
        <f t="shared" si="3"/>
        <v/>
      </c>
      <c r="D77" s="83"/>
      <c r="E77" s="84"/>
      <c r="F77" s="79" t="str">
        <f t="shared" si="4"/>
        <v/>
      </c>
      <c r="G77" s="83"/>
      <c r="H77" s="84"/>
      <c r="I77" s="79" t="str">
        <f t="shared" si="5"/>
        <v/>
      </c>
    </row>
    <row r="78" spans="1:9">
      <c r="A78" s="112"/>
      <c r="B78" s="113"/>
      <c r="C78" s="79" t="str">
        <f t="shared" si="3"/>
        <v/>
      </c>
      <c r="D78" s="83"/>
      <c r="E78" s="84"/>
      <c r="F78" s="79" t="str">
        <f t="shared" si="4"/>
        <v/>
      </c>
      <c r="G78" s="83"/>
      <c r="H78" s="84"/>
      <c r="I78" s="79" t="str">
        <f t="shared" si="5"/>
        <v/>
      </c>
    </row>
    <row r="79" spans="1:9">
      <c r="A79" s="112"/>
      <c r="B79" s="113"/>
      <c r="C79" s="79" t="str">
        <f t="shared" si="3"/>
        <v/>
      </c>
      <c r="D79" s="83"/>
      <c r="E79" s="84"/>
      <c r="F79" s="79" t="str">
        <f t="shared" si="4"/>
        <v/>
      </c>
      <c r="G79" s="83"/>
      <c r="H79" s="84"/>
      <c r="I79" s="79" t="str">
        <f t="shared" si="5"/>
        <v/>
      </c>
    </row>
    <row r="80" spans="1:9">
      <c r="A80" s="112"/>
      <c r="B80" s="113"/>
      <c r="C80" s="79" t="str">
        <f t="shared" si="3"/>
        <v/>
      </c>
      <c r="D80" s="83"/>
      <c r="E80" s="84"/>
      <c r="F80" s="79" t="str">
        <f t="shared" si="4"/>
        <v/>
      </c>
      <c r="G80" s="83"/>
      <c r="H80" s="84"/>
      <c r="I80" s="79" t="str">
        <f t="shared" si="5"/>
        <v/>
      </c>
    </row>
    <row r="81" spans="1:9">
      <c r="A81" s="112"/>
      <c r="B81" s="113"/>
      <c r="C81" s="79" t="str">
        <f t="shared" si="3"/>
        <v/>
      </c>
      <c r="D81" s="83"/>
      <c r="E81" s="84"/>
      <c r="F81" s="79" t="str">
        <f t="shared" si="4"/>
        <v/>
      </c>
      <c r="G81" s="83"/>
      <c r="H81" s="84"/>
      <c r="I81" s="79" t="str">
        <f t="shared" si="5"/>
        <v/>
      </c>
    </row>
    <row r="82" spans="1:9">
      <c r="A82" s="112"/>
      <c r="B82" s="113"/>
      <c r="C82" s="79" t="str">
        <f t="shared" si="3"/>
        <v/>
      </c>
      <c r="D82" s="83"/>
      <c r="E82" s="84"/>
      <c r="F82" s="79" t="str">
        <f t="shared" si="4"/>
        <v/>
      </c>
      <c r="G82" s="83"/>
      <c r="H82" s="84"/>
      <c r="I82" s="79" t="str">
        <f t="shared" si="5"/>
        <v/>
      </c>
    </row>
    <row r="83" spans="1:9">
      <c r="A83" s="112"/>
      <c r="B83" s="113"/>
      <c r="C83" s="79" t="str">
        <f t="shared" si="3"/>
        <v/>
      </c>
      <c r="D83" s="83"/>
      <c r="E83" s="84"/>
      <c r="F83" s="79" t="str">
        <f t="shared" si="4"/>
        <v/>
      </c>
      <c r="G83" s="83"/>
      <c r="H83" s="84"/>
      <c r="I83" s="79" t="str">
        <f t="shared" si="5"/>
        <v/>
      </c>
    </row>
    <row r="84" spans="1:9">
      <c r="A84" s="112"/>
      <c r="B84" s="113"/>
      <c r="C84" s="79" t="str">
        <f t="shared" si="3"/>
        <v/>
      </c>
      <c r="D84" s="83"/>
      <c r="E84" s="84"/>
      <c r="F84" s="79" t="str">
        <f t="shared" si="4"/>
        <v/>
      </c>
      <c r="G84" s="83"/>
      <c r="H84" s="84"/>
      <c r="I84" s="79" t="str">
        <f t="shared" si="5"/>
        <v/>
      </c>
    </row>
    <row r="85" spans="1:9">
      <c r="A85" s="112"/>
      <c r="B85" s="113"/>
      <c r="C85" s="79" t="str">
        <f t="shared" si="3"/>
        <v/>
      </c>
      <c r="D85" s="83"/>
      <c r="E85" s="84"/>
      <c r="F85" s="79" t="str">
        <f t="shared" si="4"/>
        <v/>
      </c>
      <c r="G85" s="83"/>
      <c r="H85" s="84"/>
      <c r="I85" s="79" t="str">
        <f t="shared" si="5"/>
        <v/>
      </c>
    </row>
    <row r="86" spans="1:9">
      <c r="A86" s="112"/>
      <c r="B86" s="113"/>
      <c r="C86" s="79" t="str">
        <f t="shared" si="3"/>
        <v/>
      </c>
      <c r="D86" s="83"/>
      <c r="E86" s="84"/>
      <c r="F86" s="79" t="str">
        <f t="shared" si="4"/>
        <v/>
      </c>
      <c r="G86" s="83"/>
      <c r="H86" s="84"/>
      <c r="I86" s="79" t="str">
        <f t="shared" si="5"/>
        <v/>
      </c>
    </row>
    <row r="87" spans="1:9">
      <c r="A87" s="112"/>
      <c r="B87" s="113"/>
      <c r="C87" s="79" t="str">
        <f t="shared" si="3"/>
        <v/>
      </c>
      <c r="D87" s="83"/>
      <c r="E87" s="84"/>
      <c r="F87" s="79" t="str">
        <f t="shared" si="4"/>
        <v/>
      </c>
      <c r="G87" s="83"/>
      <c r="H87" s="84"/>
      <c r="I87" s="79" t="str">
        <f t="shared" si="5"/>
        <v/>
      </c>
    </row>
    <row r="88" spans="1:9">
      <c r="A88" s="112"/>
      <c r="B88" s="113"/>
      <c r="C88" s="79" t="str">
        <f t="shared" si="3"/>
        <v/>
      </c>
      <c r="D88" s="83"/>
      <c r="E88" s="84"/>
      <c r="F88" s="79" t="str">
        <f t="shared" si="4"/>
        <v/>
      </c>
      <c r="G88" s="83"/>
      <c r="H88" s="84"/>
      <c r="I88" s="79" t="str">
        <f t="shared" si="5"/>
        <v/>
      </c>
    </row>
    <row r="89" spans="1:9">
      <c r="A89" s="112"/>
      <c r="B89" s="113"/>
      <c r="C89" s="79" t="str">
        <f t="shared" si="3"/>
        <v/>
      </c>
      <c r="D89" s="83"/>
      <c r="E89" s="84"/>
      <c r="F89" s="79" t="str">
        <f t="shared" si="4"/>
        <v/>
      </c>
      <c r="G89" s="83"/>
      <c r="H89" s="84"/>
      <c r="I89" s="79" t="str">
        <f t="shared" si="5"/>
        <v/>
      </c>
    </row>
    <row r="90" spans="1:9">
      <c r="A90" s="112"/>
      <c r="B90" s="113"/>
      <c r="C90" s="79" t="str">
        <f t="shared" si="3"/>
        <v/>
      </c>
      <c r="D90" s="83"/>
      <c r="E90" s="84"/>
      <c r="F90" s="79" t="str">
        <f t="shared" si="4"/>
        <v/>
      </c>
      <c r="G90" s="83"/>
      <c r="H90" s="84"/>
      <c r="I90" s="79" t="str">
        <f t="shared" si="5"/>
        <v/>
      </c>
    </row>
    <row r="91" spans="1:9">
      <c r="A91" s="112"/>
      <c r="B91" s="113"/>
      <c r="C91" s="79" t="str">
        <f t="shared" si="3"/>
        <v/>
      </c>
      <c r="D91" s="83"/>
      <c r="E91" s="84"/>
      <c r="F91" s="79" t="str">
        <f t="shared" si="4"/>
        <v/>
      </c>
      <c r="G91" s="83"/>
      <c r="H91" s="84"/>
      <c r="I91" s="79" t="str">
        <f t="shared" si="5"/>
        <v/>
      </c>
    </row>
    <row r="92" spans="1:9">
      <c r="A92" s="112"/>
      <c r="B92" s="113"/>
      <c r="C92" s="79" t="str">
        <f t="shared" si="3"/>
        <v/>
      </c>
      <c r="D92" s="83"/>
      <c r="E92" s="84"/>
      <c r="F92" s="79" t="str">
        <f t="shared" si="4"/>
        <v/>
      </c>
      <c r="G92" s="83"/>
      <c r="H92" s="84"/>
      <c r="I92" s="79" t="str">
        <f t="shared" si="5"/>
        <v/>
      </c>
    </row>
    <row r="93" spans="1:9">
      <c r="A93" s="112"/>
      <c r="B93" s="113"/>
      <c r="C93" s="79" t="str">
        <f t="shared" si="3"/>
        <v/>
      </c>
      <c r="D93" s="83"/>
      <c r="E93" s="84"/>
      <c r="F93" s="79" t="str">
        <f t="shared" si="4"/>
        <v/>
      </c>
      <c r="G93" s="83"/>
      <c r="H93" s="84"/>
      <c r="I93" s="79" t="str">
        <f t="shared" si="5"/>
        <v/>
      </c>
    </row>
    <row r="94" spans="1:9">
      <c r="A94" s="112"/>
      <c r="B94" s="113"/>
      <c r="C94" s="79" t="str">
        <f t="shared" si="3"/>
        <v/>
      </c>
      <c r="D94" s="83"/>
      <c r="E94" s="84"/>
      <c r="F94" s="79" t="str">
        <f t="shared" si="4"/>
        <v/>
      </c>
      <c r="G94" s="83"/>
      <c r="H94" s="84"/>
      <c r="I94" s="79" t="str">
        <f t="shared" si="5"/>
        <v/>
      </c>
    </row>
    <row r="95" spans="1:9">
      <c r="A95" s="112"/>
      <c r="B95" s="113"/>
      <c r="C95" s="79" t="str">
        <f t="shared" si="3"/>
        <v/>
      </c>
      <c r="D95" s="83"/>
      <c r="E95" s="84"/>
      <c r="F95" s="79" t="str">
        <f t="shared" si="4"/>
        <v/>
      </c>
      <c r="G95" s="83"/>
      <c r="H95" s="84"/>
      <c r="I95" s="79" t="str">
        <f t="shared" si="5"/>
        <v/>
      </c>
    </row>
    <row r="96" spans="1:9">
      <c r="A96" s="112"/>
      <c r="B96" s="113"/>
      <c r="C96" s="79" t="str">
        <f t="shared" si="3"/>
        <v/>
      </c>
      <c r="D96" s="83"/>
      <c r="E96" s="84"/>
      <c r="F96" s="79" t="str">
        <f t="shared" si="4"/>
        <v/>
      </c>
      <c r="G96" s="83"/>
      <c r="H96" s="84"/>
      <c r="I96" s="79" t="str">
        <f t="shared" si="5"/>
        <v/>
      </c>
    </row>
    <row r="97" spans="1:9">
      <c r="A97" s="112"/>
      <c r="B97" s="113"/>
      <c r="C97" s="79" t="str">
        <f t="shared" si="3"/>
        <v/>
      </c>
      <c r="D97" s="83"/>
      <c r="E97" s="84"/>
      <c r="F97" s="79" t="str">
        <f t="shared" si="4"/>
        <v/>
      </c>
      <c r="G97" s="83"/>
      <c r="H97" s="84"/>
      <c r="I97" s="79" t="str">
        <f t="shared" si="5"/>
        <v/>
      </c>
    </row>
    <row r="98" spans="1:9">
      <c r="A98" s="112"/>
      <c r="B98" s="113"/>
      <c r="C98" s="79" t="str">
        <f t="shared" si="3"/>
        <v/>
      </c>
      <c r="D98" s="83"/>
      <c r="E98" s="84"/>
      <c r="F98" s="79" t="str">
        <f t="shared" si="4"/>
        <v/>
      </c>
      <c r="G98" s="83"/>
      <c r="H98" s="84"/>
      <c r="I98" s="79" t="str">
        <f t="shared" si="5"/>
        <v/>
      </c>
    </row>
    <row r="99" spans="1:9">
      <c r="A99" s="112"/>
      <c r="B99" s="113"/>
      <c r="C99" s="79" t="str">
        <f t="shared" si="3"/>
        <v/>
      </c>
      <c r="D99" s="83"/>
      <c r="E99" s="84"/>
      <c r="F99" s="79" t="str">
        <f t="shared" si="4"/>
        <v/>
      </c>
      <c r="G99" s="83"/>
      <c r="H99" s="84"/>
      <c r="I99" s="79" t="str">
        <f t="shared" si="5"/>
        <v/>
      </c>
    </row>
    <row r="100" spans="1:9">
      <c r="A100" s="112"/>
      <c r="B100" s="113"/>
      <c r="C100" s="79" t="str">
        <f t="shared" si="3"/>
        <v/>
      </c>
      <c r="D100" s="83"/>
      <c r="E100" s="84"/>
      <c r="F100" s="79" t="str">
        <f t="shared" si="4"/>
        <v/>
      </c>
      <c r="G100" s="83"/>
      <c r="H100" s="84"/>
      <c r="I100" s="79" t="str">
        <f t="shared" si="5"/>
        <v/>
      </c>
    </row>
    <row r="101" spans="1:9">
      <c r="A101" s="112"/>
      <c r="B101" s="113"/>
      <c r="C101" s="79" t="str">
        <f t="shared" si="3"/>
        <v/>
      </c>
      <c r="D101" s="83"/>
      <c r="E101" s="84"/>
      <c r="F101" s="79" t="str">
        <f t="shared" si="4"/>
        <v/>
      </c>
      <c r="G101" s="83"/>
      <c r="H101" s="84"/>
      <c r="I101" s="79" t="str">
        <f t="shared" si="5"/>
        <v/>
      </c>
    </row>
    <row r="102" spans="1:9">
      <c r="A102" s="112"/>
      <c r="B102" s="113"/>
      <c r="C102" s="79" t="str">
        <f t="shared" si="3"/>
        <v/>
      </c>
      <c r="D102" s="83"/>
      <c r="E102" s="84"/>
      <c r="F102" s="79" t="str">
        <f t="shared" si="4"/>
        <v/>
      </c>
      <c r="G102" s="83"/>
      <c r="H102" s="84"/>
      <c r="I102" s="79" t="str">
        <f t="shared" si="5"/>
        <v/>
      </c>
    </row>
    <row r="103" spans="1:9">
      <c r="A103" s="112"/>
      <c r="B103" s="113"/>
      <c r="C103" s="79" t="str">
        <f t="shared" si="3"/>
        <v/>
      </c>
      <c r="D103" s="83"/>
      <c r="E103" s="84"/>
      <c r="F103" s="79" t="str">
        <f t="shared" si="4"/>
        <v/>
      </c>
      <c r="G103" s="83"/>
      <c r="H103" s="84"/>
      <c r="I103" s="79" t="str">
        <f t="shared" si="5"/>
        <v/>
      </c>
    </row>
    <row r="104" spans="1:9">
      <c r="A104" s="112"/>
      <c r="B104" s="113"/>
      <c r="C104" s="79" t="str">
        <f t="shared" si="3"/>
        <v/>
      </c>
      <c r="D104" s="83"/>
      <c r="E104" s="84"/>
      <c r="F104" s="79" t="str">
        <f t="shared" si="4"/>
        <v/>
      </c>
      <c r="G104" s="83"/>
      <c r="H104" s="84"/>
      <c r="I104" s="79" t="str">
        <f t="shared" si="5"/>
        <v/>
      </c>
    </row>
    <row r="105" spans="1:9">
      <c r="A105" s="112"/>
      <c r="B105" s="113"/>
      <c r="C105" s="79" t="str">
        <f t="shared" si="3"/>
        <v/>
      </c>
      <c r="D105" s="83"/>
      <c r="E105" s="84"/>
      <c r="F105" s="79" t="str">
        <f t="shared" si="4"/>
        <v/>
      </c>
      <c r="G105" s="83"/>
      <c r="H105" s="84"/>
      <c r="I105" s="79" t="str">
        <f t="shared" si="5"/>
        <v/>
      </c>
    </row>
    <row r="106" spans="1:9">
      <c r="A106" s="112"/>
      <c r="B106" s="113"/>
      <c r="C106" s="79" t="str">
        <f t="shared" si="3"/>
        <v/>
      </c>
      <c r="D106" s="83"/>
      <c r="E106" s="84"/>
      <c r="F106" s="79" t="str">
        <f t="shared" si="4"/>
        <v/>
      </c>
      <c r="G106" s="83"/>
      <c r="H106" s="84"/>
      <c r="I106" s="79" t="str">
        <f t="shared" si="5"/>
        <v/>
      </c>
    </row>
    <row r="107" spans="1:9">
      <c r="A107" s="112"/>
      <c r="B107" s="113"/>
      <c r="C107" s="79" t="str">
        <f t="shared" si="3"/>
        <v/>
      </c>
      <c r="D107" s="83"/>
      <c r="E107" s="84"/>
      <c r="F107" s="79" t="str">
        <f t="shared" si="4"/>
        <v/>
      </c>
      <c r="G107" s="83"/>
      <c r="H107" s="84"/>
      <c r="I107" s="79" t="str">
        <f t="shared" si="5"/>
        <v/>
      </c>
    </row>
    <row r="108" spans="1:9">
      <c r="A108" s="112"/>
      <c r="B108" s="113"/>
      <c r="C108" s="79" t="str">
        <f t="shared" si="3"/>
        <v/>
      </c>
      <c r="D108" s="83"/>
      <c r="E108" s="84"/>
      <c r="F108" s="79" t="str">
        <f t="shared" si="4"/>
        <v/>
      </c>
      <c r="G108" s="83"/>
      <c r="H108" s="84"/>
      <c r="I108" s="79" t="str">
        <f t="shared" si="5"/>
        <v/>
      </c>
    </row>
    <row r="109" spans="1:9">
      <c r="A109" s="112"/>
      <c r="B109" s="113"/>
      <c r="C109" s="79" t="str">
        <f t="shared" si="3"/>
        <v/>
      </c>
      <c r="D109" s="83"/>
      <c r="E109" s="84"/>
      <c r="F109" s="79" t="str">
        <f t="shared" si="4"/>
        <v/>
      </c>
      <c r="G109" s="83"/>
      <c r="H109" s="84"/>
      <c r="I109" s="79" t="str">
        <f t="shared" si="5"/>
        <v/>
      </c>
    </row>
    <row r="110" spans="1:9">
      <c r="A110" s="112"/>
      <c r="B110" s="113"/>
      <c r="C110" s="79" t="str">
        <f t="shared" si="3"/>
        <v/>
      </c>
      <c r="D110" s="83"/>
      <c r="E110" s="84"/>
      <c r="F110" s="79" t="str">
        <f t="shared" si="4"/>
        <v/>
      </c>
      <c r="G110" s="83"/>
      <c r="H110" s="84"/>
      <c r="I110" s="79" t="str">
        <f t="shared" si="5"/>
        <v/>
      </c>
    </row>
    <row r="111" spans="1:9">
      <c r="A111" s="112"/>
      <c r="B111" s="113"/>
      <c r="C111" s="79" t="str">
        <f t="shared" si="3"/>
        <v/>
      </c>
      <c r="D111" s="83"/>
      <c r="E111" s="84"/>
      <c r="F111" s="79" t="str">
        <f t="shared" si="4"/>
        <v/>
      </c>
      <c r="G111" s="83"/>
      <c r="H111" s="84"/>
      <c r="I111" s="79" t="str">
        <f t="shared" si="5"/>
        <v/>
      </c>
    </row>
    <row r="112" spans="1:9">
      <c r="A112" s="112"/>
      <c r="B112" s="113"/>
      <c r="C112" s="79" t="str">
        <f t="shared" si="3"/>
        <v/>
      </c>
      <c r="D112" s="83"/>
      <c r="E112" s="84"/>
      <c r="F112" s="79" t="str">
        <f t="shared" si="4"/>
        <v/>
      </c>
      <c r="G112" s="83"/>
      <c r="H112" s="84"/>
      <c r="I112" s="79" t="str">
        <f t="shared" si="5"/>
        <v/>
      </c>
    </row>
    <row r="113" spans="1:9">
      <c r="A113" s="112"/>
      <c r="B113" s="113"/>
      <c r="C113" s="79" t="str">
        <f t="shared" si="3"/>
        <v/>
      </c>
      <c r="D113" s="83"/>
      <c r="E113" s="84"/>
      <c r="F113" s="79" t="str">
        <f t="shared" si="4"/>
        <v/>
      </c>
      <c r="G113" s="83"/>
      <c r="H113" s="84"/>
      <c r="I113" s="79" t="str">
        <f t="shared" si="5"/>
        <v/>
      </c>
    </row>
    <row r="114" spans="1:9">
      <c r="A114" s="112"/>
      <c r="B114" s="113"/>
      <c r="C114" s="79" t="str">
        <f t="shared" si="3"/>
        <v/>
      </c>
      <c r="D114" s="83"/>
      <c r="E114" s="84"/>
      <c r="F114" s="79" t="str">
        <f t="shared" si="4"/>
        <v/>
      </c>
      <c r="G114" s="83"/>
      <c r="H114" s="84"/>
      <c r="I114" s="79" t="str">
        <f t="shared" si="5"/>
        <v/>
      </c>
    </row>
    <row r="115" spans="1:9">
      <c r="A115" s="112"/>
      <c r="B115" s="113"/>
      <c r="C115" s="79" t="str">
        <f t="shared" si="3"/>
        <v/>
      </c>
      <c r="D115" s="83"/>
      <c r="E115" s="84"/>
      <c r="F115" s="79" t="str">
        <f t="shared" si="4"/>
        <v/>
      </c>
      <c r="G115" s="83"/>
      <c r="H115" s="84"/>
      <c r="I115" s="79" t="str">
        <f t="shared" si="5"/>
        <v/>
      </c>
    </row>
    <row r="116" spans="1:9">
      <c r="A116" s="112"/>
      <c r="B116" s="113"/>
      <c r="C116" s="79" t="str">
        <f t="shared" si="3"/>
        <v/>
      </c>
      <c r="D116" s="83"/>
      <c r="E116" s="84"/>
      <c r="F116" s="79" t="str">
        <f t="shared" si="4"/>
        <v/>
      </c>
      <c r="G116" s="83"/>
      <c r="H116" s="84"/>
      <c r="I116" s="79" t="str">
        <f t="shared" si="5"/>
        <v/>
      </c>
    </row>
    <row r="117" spans="1:9">
      <c r="A117" s="112"/>
      <c r="B117" s="113"/>
      <c r="C117" s="79" t="str">
        <f t="shared" si="3"/>
        <v/>
      </c>
      <c r="D117" s="83"/>
      <c r="E117" s="84"/>
      <c r="F117" s="79" t="str">
        <f t="shared" si="4"/>
        <v/>
      </c>
      <c r="G117" s="83"/>
      <c r="H117" s="84"/>
      <c r="I117" s="79" t="str">
        <f t="shared" si="5"/>
        <v/>
      </c>
    </row>
    <row r="118" spans="1:9">
      <c r="A118" s="112"/>
      <c r="B118" s="113"/>
      <c r="C118" s="79" t="str">
        <f t="shared" si="3"/>
        <v/>
      </c>
      <c r="D118" s="83"/>
      <c r="E118" s="84"/>
      <c r="F118" s="79" t="str">
        <f t="shared" si="4"/>
        <v/>
      </c>
      <c r="G118" s="83"/>
      <c r="H118" s="84"/>
      <c r="I118" s="79" t="str">
        <f t="shared" si="5"/>
        <v/>
      </c>
    </row>
    <row r="119" spans="1:9">
      <c r="A119" s="112"/>
      <c r="B119" s="113"/>
      <c r="C119" s="79" t="str">
        <f t="shared" si="3"/>
        <v/>
      </c>
      <c r="D119" s="83"/>
      <c r="E119" s="84"/>
      <c r="F119" s="79" t="str">
        <f t="shared" si="4"/>
        <v/>
      </c>
      <c r="G119" s="83"/>
      <c r="H119" s="84"/>
      <c r="I119" s="79" t="str">
        <f t="shared" si="5"/>
        <v/>
      </c>
    </row>
    <row r="120" spans="1:9">
      <c r="A120" s="112"/>
      <c r="B120" s="113"/>
      <c r="C120" s="79" t="str">
        <f t="shared" si="3"/>
        <v/>
      </c>
      <c r="D120" s="83"/>
      <c r="E120" s="84"/>
      <c r="F120" s="79" t="str">
        <f t="shared" si="4"/>
        <v/>
      </c>
      <c r="G120" s="83"/>
      <c r="H120" s="84"/>
      <c r="I120" s="79" t="str">
        <f t="shared" si="5"/>
        <v/>
      </c>
    </row>
    <row r="121" spans="1:9">
      <c r="A121" s="112"/>
      <c r="B121" s="113"/>
      <c r="C121" s="79" t="str">
        <f t="shared" si="3"/>
        <v/>
      </c>
      <c r="D121" s="83"/>
      <c r="E121" s="84"/>
      <c r="F121" s="79" t="str">
        <f t="shared" si="4"/>
        <v/>
      </c>
      <c r="G121" s="83"/>
      <c r="H121" s="84"/>
      <c r="I121" s="79" t="str">
        <f t="shared" si="5"/>
        <v/>
      </c>
    </row>
    <row r="122" spans="1:9">
      <c r="A122" s="112"/>
      <c r="B122" s="113"/>
      <c r="C122" s="79" t="str">
        <f t="shared" si="3"/>
        <v/>
      </c>
      <c r="D122" s="83"/>
      <c r="E122" s="84"/>
      <c r="F122" s="79" t="str">
        <f t="shared" si="4"/>
        <v/>
      </c>
      <c r="G122" s="83"/>
      <c r="H122" s="84"/>
      <c r="I122" s="79" t="str">
        <f t="shared" si="5"/>
        <v/>
      </c>
    </row>
    <row r="123" spans="1:9">
      <c r="A123" s="112"/>
      <c r="B123" s="113"/>
      <c r="C123" s="79" t="str">
        <f t="shared" si="3"/>
        <v/>
      </c>
      <c r="D123" s="83"/>
      <c r="E123" s="84"/>
      <c r="F123" s="79" t="str">
        <f t="shared" si="4"/>
        <v/>
      </c>
      <c r="G123" s="83"/>
      <c r="H123" s="84"/>
      <c r="I123" s="79" t="str">
        <f t="shared" si="5"/>
        <v/>
      </c>
    </row>
    <row r="124" spans="1:9">
      <c r="A124" s="112"/>
      <c r="B124" s="113"/>
      <c r="C124" s="79" t="str">
        <f t="shared" si="3"/>
        <v/>
      </c>
      <c r="D124" s="83"/>
      <c r="E124" s="84"/>
      <c r="F124" s="79" t="str">
        <f t="shared" si="4"/>
        <v/>
      </c>
      <c r="G124" s="83"/>
      <c r="H124" s="84"/>
      <c r="I124" s="79" t="str">
        <f t="shared" si="5"/>
        <v/>
      </c>
    </row>
    <row r="125" spans="1:9">
      <c r="A125" s="112"/>
      <c r="B125" s="113"/>
      <c r="C125" s="79" t="str">
        <f t="shared" si="3"/>
        <v/>
      </c>
      <c r="D125" s="83"/>
      <c r="E125" s="84"/>
      <c r="F125" s="79" t="str">
        <f t="shared" si="4"/>
        <v/>
      </c>
      <c r="G125" s="83"/>
      <c r="H125" s="84"/>
      <c r="I125" s="79" t="str">
        <f t="shared" si="5"/>
        <v/>
      </c>
    </row>
    <row r="126" spans="1:9">
      <c r="A126" s="112"/>
      <c r="B126" s="113"/>
      <c r="C126" s="79" t="str">
        <f t="shared" si="3"/>
        <v/>
      </c>
      <c r="D126" s="83"/>
      <c r="E126" s="84"/>
      <c r="F126" s="79" t="str">
        <f t="shared" si="4"/>
        <v/>
      </c>
      <c r="G126" s="83"/>
      <c r="H126" s="84"/>
      <c r="I126" s="79" t="str">
        <f t="shared" si="5"/>
        <v/>
      </c>
    </row>
    <row r="127" spans="1:9">
      <c r="A127" s="112"/>
      <c r="B127" s="113"/>
      <c r="C127" s="79" t="str">
        <f t="shared" si="3"/>
        <v/>
      </c>
      <c r="D127" s="83"/>
      <c r="E127" s="84"/>
      <c r="F127" s="79" t="str">
        <f t="shared" si="4"/>
        <v/>
      </c>
      <c r="G127" s="83"/>
      <c r="H127" s="84"/>
      <c r="I127" s="79" t="str">
        <f t="shared" si="5"/>
        <v/>
      </c>
    </row>
    <row r="128" spans="1:9">
      <c r="A128" s="112"/>
      <c r="B128" s="113"/>
      <c r="C128" s="79" t="str">
        <f t="shared" si="3"/>
        <v/>
      </c>
      <c r="D128" s="83"/>
      <c r="E128" s="84"/>
      <c r="F128" s="79" t="str">
        <f t="shared" si="4"/>
        <v/>
      </c>
      <c r="G128" s="83"/>
      <c r="H128" s="84"/>
      <c r="I128" s="79" t="str">
        <f t="shared" si="5"/>
        <v/>
      </c>
    </row>
    <row r="129" spans="1:9">
      <c r="A129" s="112"/>
      <c r="B129" s="113"/>
      <c r="C129" s="79" t="str">
        <f t="shared" si="3"/>
        <v/>
      </c>
      <c r="D129" s="83"/>
      <c r="E129" s="84"/>
      <c r="F129" s="79" t="str">
        <f t="shared" si="4"/>
        <v/>
      </c>
      <c r="G129" s="83"/>
      <c r="H129" s="84"/>
      <c r="I129" s="79" t="str">
        <f t="shared" si="5"/>
        <v/>
      </c>
    </row>
    <row r="130" spans="1:9">
      <c r="A130" s="112"/>
      <c r="B130" s="113"/>
      <c r="C130" s="79" t="str">
        <f t="shared" si="3"/>
        <v/>
      </c>
      <c r="D130" s="83"/>
      <c r="E130" s="84"/>
      <c r="F130" s="79" t="str">
        <f t="shared" si="4"/>
        <v/>
      </c>
      <c r="G130" s="83"/>
      <c r="H130" s="84"/>
      <c r="I130" s="79" t="str">
        <f t="shared" si="5"/>
        <v/>
      </c>
    </row>
    <row r="131" spans="1:9">
      <c r="A131" s="112"/>
      <c r="B131" s="113"/>
      <c r="C131" s="79" t="str">
        <f t="shared" si="3"/>
        <v/>
      </c>
      <c r="D131" s="83"/>
      <c r="E131" s="84"/>
      <c r="F131" s="79" t="str">
        <f t="shared" si="4"/>
        <v/>
      </c>
      <c r="G131" s="83"/>
      <c r="H131" s="84"/>
      <c r="I131" s="79" t="str">
        <f t="shared" si="5"/>
        <v/>
      </c>
    </row>
    <row r="132" spans="1:9">
      <c r="A132" s="112"/>
      <c r="B132" s="113"/>
      <c r="C132" s="79" t="str">
        <f t="shared" si="3"/>
        <v/>
      </c>
      <c r="D132" s="83"/>
      <c r="E132" s="84"/>
      <c r="F132" s="79" t="str">
        <f t="shared" si="4"/>
        <v/>
      </c>
      <c r="G132" s="83"/>
      <c r="H132" s="84"/>
      <c r="I132" s="79" t="str">
        <f t="shared" si="5"/>
        <v/>
      </c>
    </row>
    <row r="133" spans="1:9">
      <c r="A133" s="112"/>
      <c r="B133" s="113"/>
      <c r="C133" s="79" t="str">
        <f t="shared" ref="C133:C196" si="6">IF(B133&gt;0,TEXT(B133,"(aaa)"),"")</f>
        <v/>
      </c>
      <c r="D133" s="83"/>
      <c r="E133" s="84"/>
      <c r="F133" s="79" t="str">
        <f t="shared" ref="F133:F196" si="7">IF(E133&gt;0,TEXT(E133,"(aaa)"),"")</f>
        <v/>
      </c>
      <c r="G133" s="83"/>
      <c r="H133" s="84"/>
      <c r="I133" s="79" t="str">
        <f t="shared" ref="I133:I196" si="8">IF(H133&gt;0,TEXT(H133,"(aaa)"),"")</f>
        <v/>
      </c>
    </row>
    <row r="134" spans="1:9">
      <c r="A134" s="112"/>
      <c r="B134" s="113"/>
      <c r="C134" s="79" t="str">
        <f t="shared" si="6"/>
        <v/>
      </c>
      <c r="D134" s="83"/>
      <c r="E134" s="84"/>
      <c r="F134" s="79" t="str">
        <f t="shared" si="7"/>
        <v/>
      </c>
      <c r="G134" s="83"/>
      <c r="H134" s="84"/>
      <c r="I134" s="79" t="str">
        <f t="shared" si="8"/>
        <v/>
      </c>
    </row>
    <row r="135" spans="1:9">
      <c r="A135" s="112"/>
      <c r="B135" s="113"/>
      <c r="C135" s="79" t="str">
        <f t="shared" si="6"/>
        <v/>
      </c>
      <c r="D135" s="83"/>
      <c r="E135" s="84"/>
      <c r="F135" s="79" t="str">
        <f t="shared" si="7"/>
        <v/>
      </c>
      <c r="G135" s="83"/>
      <c r="H135" s="84"/>
      <c r="I135" s="79" t="str">
        <f t="shared" si="8"/>
        <v/>
      </c>
    </row>
    <row r="136" spans="1:9">
      <c r="A136" s="112"/>
      <c r="B136" s="113"/>
      <c r="C136" s="79" t="str">
        <f t="shared" si="6"/>
        <v/>
      </c>
      <c r="D136" s="83"/>
      <c r="E136" s="84"/>
      <c r="F136" s="79" t="str">
        <f t="shared" si="7"/>
        <v/>
      </c>
      <c r="G136" s="83"/>
      <c r="H136" s="84"/>
      <c r="I136" s="79" t="str">
        <f t="shared" si="8"/>
        <v/>
      </c>
    </row>
    <row r="137" spans="1:9">
      <c r="A137" s="112"/>
      <c r="B137" s="113"/>
      <c r="C137" s="79" t="str">
        <f t="shared" si="6"/>
        <v/>
      </c>
      <c r="D137" s="83"/>
      <c r="E137" s="84"/>
      <c r="F137" s="79" t="str">
        <f t="shared" si="7"/>
        <v/>
      </c>
      <c r="G137" s="83"/>
      <c r="H137" s="84"/>
      <c r="I137" s="79" t="str">
        <f t="shared" si="8"/>
        <v/>
      </c>
    </row>
    <row r="138" spans="1:9">
      <c r="A138" s="112"/>
      <c r="B138" s="113"/>
      <c r="C138" s="79" t="str">
        <f t="shared" si="6"/>
        <v/>
      </c>
      <c r="D138" s="83"/>
      <c r="E138" s="84"/>
      <c r="F138" s="79" t="str">
        <f t="shared" si="7"/>
        <v/>
      </c>
      <c r="G138" s="83"/>
      <c r="H138" s="84"/>
      <c r="I138" s="79" t="str">
        <f t="shared" si="8"/>
        <v/>
      </c>
    </row>
    <row r="139" spans="1:9">
      <c r="A139" s="112"/>
      <c r="B139" s="113"/>
      <c r="C139" s="79" t="str">
        <f t="shared" si="6"/>
        <v/>
      </c>
      <c r="D139" s="83"/>
      <c r="E139" s="84"/>
      <c r="F139" s="79" t="str">
        <f t="shared" si="7"/>
        <v/>
      </c>
      <c r="G139" s="83"/>
      <c r="H139" s="84"/>
      <c r="I139" s="79" t="str">
        <f t="shared" si="8"/>
        <v/>
      </c>
    </row>
    <row r="140" spans="1:9">
      <c r="A140" s="112"/>
      <c r="B140" s="113"/>
      <c r="C140" s="79" t="str">
        <f t="shared" si="6"/>
        <v/>
      </c>
      <c r="D140" s="83"/>
      <c r="E140" s="84"/>
      <c r="F140" s="79" t="str">
        <f t="shared" si="7"/>
        <v/>
      </c>
      <c r="G140" s="83"/>
      <c r="H140" s="84"/>
      <c r="I140" s="79" t="str">
        <f t="shared" si="8"/>
        <v/>
      </c>
    </row>
    <row r="141" spans="1:9">
      <c r="A141" s="112"/>
      <c r="B141" s="113"/>
      <c r="C141" s="79" t="str">
        <f t="shared" si="6"/>
        <v/>
      </c>
      <c r="D141" s="83"/>
      <c r="E141" s="84"/>
      <c r="F141" s="79" t="str">
        <f t="shared" si="7"/>
        <v/>
      </c>
      <c r="G141" s="83"/>
      <c r="H141" s="84"/>
      <c r="I141" s="79" t="str">
        <f t="shared" si="8"/>
        <v/>
      </c>
    </row>
    <row r="142" spans="1:9">
      <c r="A142" s="112"/>
      <c r="B142" s="113"/>
      <c r="C142" s="79" t="str">
        <f t="shared" si="6"/>
        <v/>
      </c>
      <c r="D142" s="83"/>
      <c r="E142" s="84"/>
      <c r="F142" s="79" t="str">
        <f t="shared" si="7"/>
        <v/>
      </c>
      <c r="G142" s="83"/>
      <c r="H142" s="84"/>
      <c r="I142" s="79" t="str">
        <f t="shared" si="8"/>
        <v/>
      </c>
    </row>
    <row r="143" spans="1:9">
      <c r="A143" s="112"/>
      <c r="B143" s="113"/>
      <c r="C143" s="79" t="str">
        <f t="shared" si="6"/>
        <v/>
      </c>
      <c r="D143" s="83"/>
      <c r="E143" s="84"/>
      <c r="F143" s="79" t="str">
        <f t="shared" si="7"/>
        <v/>
      </c>
      <c r="G143" s="83"/>
      <c r="H143" s="84"/>
      <c r="I143" s="79" t="str">
        <f t="shared" si="8"/>
        <v/>
      </c>
    </row>
    <row r="144" spans="1:9">
      <c r="A144" s="112"/>
      <c r="B144" s="113"/>
      <c r="C144" s="79" t="str">
        <f t="shared" si="6"/>
        <v/>
      </c>
      <c r="D144" s="83"/>
      <c r="E144" s="84"/>
      <c r="F144" s="79" t="str">
        <f t="shared" si="7"/>
        <v/>
      </c>
      <c r="G144" s="83"/>
      <c r="H144" s="84"/>
      <c r="I144" s="79" t="str">
        <f t="shared" si="8"/>
        <v/>
      </c>
    </row>
    <row r="145" spans="1:9">
      <c r="A145" s="112"/>
      <c r="B145" s="113"/>
      <c r="C145" s="79" t="str">
        <f t="shared" si="6"/>
        <v/>
      </c>
      <c r="D145" s="83"/>
      <c r="E145" s="84"/>
      <c r="F145" s="79" t="str">
        <f t="shared" si="7"/>
        <v/>
      </c>
      <c r="G145" s="83"/>
      <c r="H145" s="84"/>
      <c r="I145" s="79" t="str">
        <f t="shared" si="8"/>
        <v/>
      </c>
    </row>
    <row r="146" spans="1:9">
      <c r="A146" s="112"/>
      <c r="B146" s="113"/>
      <c r="C146" s="79" t="str">
        <f t="shared" si="6"/>
        <v/>
      </c>
      <c r="D146" s="83"/>
      <c r="E146" s="84"/>
      <c r="F146" s="79" t="str">
        <f t="shared" si="7"/>
        <v/>
      </c>
      <c r="G146" s="83"/>
      <c r="H146" s="84"/>
      <c r="I146" s="79" t="str">
        <f t="shared" si="8"/>
        <v/>
      </c>
    </row>
    <row r="147" spans="1:9">
      <c r="A147" s="112"/>
      <c r="B147" s="113"/>
      <c r="C147" s="79" t="str">
        <f t="shared" si="6"/>
        <v/>
      </c>
      <c r="D147" s="83"/>
      <c r="E147" s="84"/>
      <c r="F147" s="79" t="str">
        <f t="shared" si="7"/>
        <v/>
      </c>
      <c r="G147" s="83"/>
      <c r="H147" s="84"/>
      <c r="I147" s="79" t="str">
        <f t="shared" si="8"/>
        <v/>
      </c>
    </row>
    <row r="148" spans="1:9">
      <c r="A148" s="112"/>
      <c r="B148" s="113"/>
      <c r="C148" s="79" t="str">
        <f t="shared" si="6"/>
        <v/>
      </c>
      <c r="D148" s="83"/>
      <c r="E148" s="84"/>
      <c r="F148" s="79" t="str">
        <f t="shared" si="7"/>
        <v/>
      </c>
      <c r="G148" s="83"/>
      <c r="H148" s="84"/>
      <c r="I148" s="79" t="str">
        <f t="shared" si="8"/>
        <v/>
      </c>
    </row>
    <row r="149" spans="1:9">
      <c r="A149" s="112"/>
      <c r="B149" s="113"/>
      <c r="C149" s="79" t="str">
        <f t="shared" si="6"/>
        <v/>
      </c>
      <c r="D149" s="83"/>
      <c r="E149" s="84"/>
      <c r="F149" s="79" t="str">
        <f t="shared" si="7"/>
        <v/>
      </c>
      <c r="G149" s="83"/>
      <c r="H149" s="84"/>
      <c r="I149" s="79" t="str">
        <f t="shared" si="8"/>
        <v/>
      </c>
    </row>
    <row r="150" spans="1:9">
      <c r="A150" s="112"/>
      <c r="B150" s="113"/>
      <c r="C150" s="79" t="str">
        <f t="shared" si="6"/>
        <v/>
      </c>
      <c r="D150" s="83"/>
      <c r="E150" s="84"/>
      <c r="F150" s="79" t="str">
        <f t="shared" si="7"/>
        <v/>
      </c>
      <c r="G150" s="83"/>
      <c r="H150" s="84"/>
      <c r="I150" s="79" t="str">
        <f t="shared" si="8"/>
        <v/>
      </c>
    </row>
    <row r="151" spans="1:9">
      <c r="A151" s="112"/>
      <c r="B151" s="113"/>
      <c r="C151" s="79" t="str">
        <f t="shared" si="6"/>
        <v/>
      </c>
      <c r="D151" s="83"/>
      <c r="E151" s="84"/>
      <c r="F151" s="79" t="str">
        <f t="shared" si="7"/>
        <v/>
      </c>
      <c r="G151" s="83"/>
      <c r="H151" s="84"/>
      <c r="I151" s="79" t="str">
        <f t="shared" si="8"/>
        <v/>
      </c>
    </row>
    <row r="152" spans="1:9">
      <c r="A152" s="112"/>
      <c r="B152" s="113"/>
      <c r="C152" s="79" t="str">
        <f t="shared" si="6"/>
        <v/>
      </c>
      <c r="D152" s="83"/>
      <c r="E152" s="84"/>
      <c r="F152" s="79" t="str">
        <f t="shared" si="7"/>
        <v/>
      </c>
      <c r="G152" s="83"/>
      <c r="H152" s="84"/>
      <c r="I152" s="79" t="str">
        <f t="shared" si="8"/>
        <v/>
      </c>
    </row>
    <row r="153" spans="1:9">
      <c r="A153" s="112"/>
      <c r="B153" s="113"/>
      <c r="C153" s="79" t="str">
        <f t="shared" si="6"/>
        <v/>
      </c>
      <c r="D153" s="83"/>
      <c r="E153" s="84"/>
      <c r="F153" s="79" t="str">
        <f t="shared" si="7"/>
        <v/>
      </c>
      <c r="G153" s="83"/>
      <c r="H153" s="84"/>
      <c r="I153" s="79" t="str">
        <f t="shared" si="8"/>
        <v/>
      </c>
    </row>
    <row r="154" spans="1:9">
      <c r="A154" s="112"/>
      <c r="B154" s="113"/>
      <c r="C154" s="79" t="str">
        <f t="shared" si="6"/>
        <v/>
      </c>
      <c r="D154" s="83"/>
      <c r="E154" s="84"/>
      <c r="F154" s="79" t="str">
        <f t="shared" si="7"/>
        <v/>
      </c>
      <c r="G154" s="83"/>
      <c r="H154" s="84"/>
      <c r="I154" s="79" t="str">
        <f t="shared" si="8"/>
        <v/>
      </c>
    </row>
    <row r="155" spans="1:9">
      <c r="A155" s="112"/>
      <c r="B155" s="113"/>
      <c r="C155" s="79" t="str">
        <f t="shared" si="6"/>
        <v/>
      </c>
      <c r="D155" s="83"/>
      <c r="E155" s="84"/>
      <c r="F155" s="79" t="str">
        <f t="shared" si="7"/>
        <v/>
      </c>
      <c r="G155" s="83"/>
      <c r="H155" s="84"/>
      <c r="I155" s="79" t="str">
        <f t="shared" si="8"/>
        <v/>
      </c>
    </row>
    <row r="156" spans="1:9">
      <c r="A156" s="112"/>
      <c r="B156" s="113"/>
      <c r="C156" s="79" t="str">
        <f t="shared" si="6"/>
        <v/>
      </c>
      <c r="D156" s="83"/>
      <c r="E156" s="84"/>
      <c r="F156" s="79" t="str">
        <f t="shared" si="7"/>
        <v/>
      </c>
      <c r="G156" s="83"/>
      <c r="H156" s="84"/>
      <c r="I156" s="79" t="str">
        <f t="shared" si="8"/>
        <v/>
      </c>
    </row>
    <row r="157" spans="1:9">
      <c r="A157" s="112"/>
      <c r="B157" s="113"/>
      <c r="C157" s="79" t="str">
        <f t="shared" si="6"/>
        <v/>
      </c>
      <c r="D157" s="83"/>
      <c r="E157" s="84"/>
      <c r="F157" s="79" t="str">
        <f t="shared" si="7"/>
        <v/>
      </c>
      <c r="G157" s="83"/>
      <c r="H157" s="84"/>
      <c r="I157" s="79" t="str">
        <f t="shared" si="8"/>
        <v/>
      </c>
    </row>
    <row r="158" spans="1:9">
      <c r="A158" s="112"/>
      <c r="B158" s="113"/>
      <c r="C158" s="79" t="str">
        <f t="shared" si="6"/>
        <v/>
      </c>
      <c r="D158" s="83"/>
      <c r="E158" s="84"/>
      <c r="F158" s="79" t="str">
        <f t="shared" si="7"/>
        <v/>
      </c>
      <c r="G158" s="83"/>
      <c r="H158" s="84"/>
      <c r="I158" s="79" t="str">
        <f t="shared" si="8"/>
        <v/>
      </c>
    </row>
    <row r="159" spans="1:9">
      <c r="A159" s="112"/>
      <c r="B159" s="113"/>
      <c r="C159" s="79" t="str">
        <f t="shared" si="6"/>
        <v/>
      </c>
      <c r="D159" s="83"/>
      <c r="E159" s="84"/>
      <c r="F159" s="79" t="str">
        <f t="shared" si="7"/>
        <v/>
      </c>
      <c r="G159" s="83"/>
      <c r="H159" s="84"/>
      <c r="I159" s="79" t="str">
        <f t="shared" si="8"/>
        <v/>
      </c>
    </row>
    <row r="160" spans="1:9">
      <c r="A160" s="112"/>
      <c r="B160" s="113"/>
      <c r="C160" s="79" t="str">
        <f t="shared" si="6"/>
        <v/>
      </c>
      <c r="D160" s="83"/>
      <c r="E160" s="84"/>
      <c r="F160" s="79" t="str">
        <f t="shared" si="7"/>
        <v/>
      </c>
      <c r="G160" s="83"/>
      <c r="H160" s="84"/>
      <c r="I160" s="79" t="str">
        <f t="shared" si="8"/>
        <v/>
      </c>
    </row>
    <row r="161" spans="1:9">
      <c r="A161" s="112"/>
      <c r="B161" s="113"/>
      <c r="C161" s="79" t="str">
        <f t="shared" si="6"/>
        <v/>
      </c>
      <c r="D161" s="83"/>
      <c r="E161" s="84"/>
      <c r="F161" s="79" t="str">
        <f t="shared" si="7"/>
        <v/>
      </c>
      <c r="G161" s="83"/>
      <c r="H161" s="84"/>
      <c r="I161" s="79" t="str">
        <f t="shared" si="8"/>
        <v/>
      </c>
    </row>
    <row r="162" spans="1:9">
      <c r="A162" s="112"/>
      <c r="B162" s="113"/>
      <c r="C162" s="79" t="str">
        <f t="shared" si="6"/>
        <v/>
      </c>
      <c r="D162" s="83"/>
      <c r="E162" s="84"/>
      <c r="F162" s="79" t="str">
        <f t="shared" si="7"/>
        <v/>
      </c>
      <c r="G162" s="83"/>
      <c r="H162" s="84"/>
      <c r="I162" s="79" t="str">
        <f t="shared" si="8"/>
        <v/>
      </c>
    </row>
    <row r="163" spans="1:9">
      <c r="A163" s="112"/>
      <c r="B163" s="113"/>
      <c r="C163" s="79" t="str">
        <f t="shared" si="6"/>
        <v/>
      </c>
      <c r="D163" s="83"/>
      <c r="E163" s="84"/>
      <c r="F163" s="79" t="str">
        <f t="shared" si="7"/>
        <v/>
      </c>
      <c r="G163" s="83"/>
      <c r="H163" s="84"/>
      <c r="I163" s="79" t="str">
        <f t="shared" si="8"/>
        <v/>
      </c>
    </row>
    <row r="164" spans="1:9">
      <c r="A164" s="112"/>
      <c r="B164" s="113"/>
      <c r="C164" s="79" t="str">
        <f t="shared" si="6"/>
        <v/>
      </c>
      <c r="D164" s="83"/>
      <c r="E164" s="84"/>
      <c r="F164" s="79" t="str">
        <f t="shared" si="7"/>
        <v/>
      </c>
      <c r="G164" s="83"/>
      <c r="H164" s="84"/>
      <c r="I164" s="79" t="str">
        <f t="shared" si="8"/>
        <v/>
      </c>
    </row>
    <row r="165" spans="1:9">
      <c r="A165" s="112"/>
      <c r="B165" s="113"/>
      <c r="C165" s="79" t="str">
        <f t="shared" si="6"/>
        <v/>
      </c>
      <c r="D165" s="83"/>
      <c r="E165" s="84"/>
      <c r="F165" s="79" t="str">
        <f t="shared" si="7"/>
        <v/>
      </c>
      <c r="G165" s="83"/>
      <c r="H165" s="84"/>
      <c r="I165" s="79" t="str">
        <f t="shared" si="8"/>
        <v/>
      </c>
    </row>
    <row r="166" spans="1:9">
      <c r="A166" s="112"/>
      <c r="B166" s="113"/>
      <c r="C166" s="79" t="str">
        <f t="shared" si="6"/>
        <v/>
      </c>
      <c r="D166" s="83"/>
      <c r="E166" s="84"/>
      <c r="F166" s="79" t="str">
        <f t="shared" si="7"/>
        <v/>
      </c>
      <c r="G166" s="83"/>
      <c r="H166" s="84"/>
      <c r="I166" s="79" t="str">
        <f t="shared" si="8"/>
        <v/>
      </c>
    </row>
    <row r="167" spans="1:9">
      <c r="A167" s="112"/>
      <c r="B167" s="113"/>
      <c r="C167" s="79" t="str">
        <f t="shared" si="6"/>
        <v/>
      </c>
      <c r="D167" s="83"/>
      <c r="E167" s="84"/>
      <c r="F167" s="79" t="str">
        <f t="shared" si="7"/>
        <v/>
      </c>
      <c r="G167" s="83"/>
      <c r="H167" s="84"/>
      <c r="I167" s="79" t="str">
        <f t="shared" si="8"/>
        <v/>
      </c>
    </row>
    <row r="168" spans="1:9">
      <c r="A168" s="112"/>
      <c r="B168" s="113"/>
      <c r="C168" s="79" t="str">
        <f t="shared" si="6"/>
        <v/>
      </c>
      <c r="D168" s="83"/>
      <c r="E168" s="84"/>
      <c r="F168" s="79" t="str">
        <f t="shared" si="7"/>
        <v/>
      </c>
      <c r="G168" s="83"/>
      <c r="H168" s="84"/>
      <c r="I168" s="79" t="str">
        <f t="shared" si="8"/>
        <v/>
      </c>
    </row>
    <row r="169" spans="1:9">
      <c r="A169" s="112"/>
      <c r="B169" s="113"/>
      <c r="C169" s="79" t="str">
        <f t="shared" si="6"/>
        <v/>
      </c>
      <c r="D169" s="83"/>
      <c r="E169" s="84"/>
      <c r="F169" s="79" t="str">
        <f t="shared" si="7"/>
        <v/>
      </c>
      <c r="G169" s="83"/>
      <c r="H169" s="84"/>
      <c r="I169" s="79" t="str">
        <f t="shared" si="8"/>
        <v/>
      </c>
    </row>
    <row r="170" spans="1:9">
      <c r="A170" s="112"/>
      <c r="B170" s="113"/>
      <c r="C170" s="79" t="str">
        <f t="shared" si="6"/>
        <v/>
      </c>
      <c r="D170" s="83"/>
      <c r="E170" s="84"/>
      <c r="F170" s="79" t="str">
        <f t="shared" si="7"/>
        <v/>
      </c>
      <c r="G170" s="83"/>
      <c r="H170" s="84"/>
      <c r="I170" s="79" t="str">
        <f t="shared" si="8"/>
        <v/>
      </c>
    </row>
    <row r="171" spans="1:9">
      <c r="A171" s="112"/>
      <c r="B171" s="113"/>
      <c r="C171" s="79" t="str">
        <f t="shared" si="6"/>
        <v/>
      </c>
      <c r="D171" s="83"/>
      <c r="E171" s="84"/>
      <c r="F171" s="79" t="str">
        <f t="shared" si="7"/>
        <v/>
      </c>
      <c r="G171" s="83"/>
      <c r="H171" s="84"/>
      <c r="I171" s="79" t="str">
        <f t="shared" si="8"/>
        <v/>
      </c>
    </row>
    <row r="172" spans="1:9">
      <c r="A172" s="112"/>
      <c r="B172" s="113"/>
      <c r="C172" s="79" t="str">
        <f t="shared" si="6"/>
        <v/>
      </c>
      <c r="D172" s="83"/>
      <c r="E172" s="84"/>
      <c r="F172" s="79" t="str">
        <f t="shared" si="7"/>
        <v/>
      </c>
      <c r="G172" s="83"/>
      <c r="H172" s="84"/>
      <c r="I172" s="79" t="str">
        <f t="shared" si="8"/>
        <v/>
      </c>
    </row>
    <row r="173" spans="1:9">
      <c r="A173" s="112"/>
      <c r="B173" s="113"/>
      <c r="C173" s="79" t="str">
        <f t="shared" si="6"/>
        <v/>
      </c>
      <c r="D173" s="83"/>
      <c r="E173" s="84"/>
      <c r="F173" s="79" t="str">
        <f t="shared" si="7"/>
        <v/>
      </c>
      <c r="G173" s="83"/>
      <c r="H173" s="84"/>
      <c r="I173" s="79" t="str">
        <f t="shared" si="8"/>
        <v/>
      </c>
    </row>
    <row r="174" spans="1:9">
      <c r="A174" s="112"/>
      <c r="B174" s="113"/>
      <c r="C174" s="79" t="str">
        <f t="shared" si="6"/>
        <v/>
      </c>
      <c r="D174" s="83"/>
      <c r="E174" s="84"/>
      <c r="F174" s="79" t="str">
        <f t="shared" si="7"/>
        <v/>
      </c>
      <c r="G174" s="83"/>
      <c r="H174" s="84"/>
      <c r="I174" s="79" t="str">
        <f t="shared" si="8"/>
        <v/>
      </c>
    </row>
    <row r="175" spans="1:9">
      <c r="A175" s="112"/>
      <c r="B175" s="113"/>
      <c r="C175" s="79" t="str">
        <f t="shared" si="6"/>
        <v/>
      </c>
      <c r="D175" s="83"/>
      <c r="E175" s="84"/>
      <c r="F175" s="79" t="str">
        <f t="shared" si="7"/>
        <v/>
      </c>
      <c r="G175" s="83"/>
      <c r="H175" s="84"/>
      <c r="I175" s="79" t="str">
        <f t="shared" si="8"/>
        <v/>
      </c>
    </row>
    <row r="176" spans="1:9">
      <c r="A176" s="112"/>
      <c r="B176" s="113"/>
      <c r="C176" s="79" t="str">
        <f t="shared" si="6"/>
        <v/>
      </c>
      <c r="D176" s="83"/>
      <c r="E176" s="84"/>
      <c r="F176" s="79" t="str">
        <f t="shared" si="7"/>
        <v/>
      </c>
      <c r="G176" s="83"/>
      <c r="H176" s="84"/>
      <c r="I176" s="79" t="str">
        <f t="shared" si="8"/>
        <v/>
      </c>
    </row>
    <row r="177" spans="1:9">
      <c r="A177" s="112"/>
      <c r="B177" s="113"/>
      <c r="C177" s="79" t="str">
        <f t="shared" si="6"/>
        <v/>
      </c>
      <c r="D177" s="83"/>
      <c r="E177" s="84"/>
      <c r="F177" s="79" t="str">
        <f t="shared" si="7"/>
        <v/>
      </c>
      <c r="G177" s="83"/>
      <c r="H177" s="84"/>
      <c r="I177" s="79" t="str">
        <f t="shared" si="8"/>
        <v/>
      </c>
    </row>
    <row r="178" spans="1:9">
      <c r="A178" s="112"/>
      <c r="B178" s="113"/>
      <c r="C178" s="79" t="str">
        <f t="shared" si="6"/>
        <v/>
      </c>
      <c r="D178" s="83"/>
      <c r="E178" s="84"/>
      <c r="F178" s="79" t="str">
        <f t="shared" si="7"/>
        <v/>
      </c>
      <c r="G178" s="83"/>
      <c r="H178" s="84"/>
      <c r="I178" s="79" t="str">
        <f t="shared" si="8"/>
        <v/>
      </c>
    </row>
    <row r="179" spans="1:9">
      <c r="A179" s="112"/>
      <c r="B179" s="113"/>
      <c r="C179" s="79" t="str">
        <f t="shared" si="6"/>
        <v/>
      </c>
      <c r="D179" s="83"/>
      <c r="E179" s="84"/>
      <c r="F179" s="79" t="str">
        <f t="shared" si="7"/>
        <v/>
      </c>
      <c r="G179" s="83"/>
      <c r="H179" s="84"/>
      <c r="I179" s="79" t="str">
        <f t="shared" si="8"/>
        <v/>
      </c>
    </row>
    <row r="180" spans="1:9">
      <c r="A180" s="112"/>
      <c r="B180" s="113"/>
      <c r="C180" s="79" t="str">
        <f t="shared" si="6"/>
        <v/>
      </c>
      <c r="D180" s="83"/>
      <c r="E180" s="84"/>
      <c r="F180" s="79" t="str">
        <f t="shared" si="7"/>
        <v/>
      </c>
      <c r="G180" s="83"/>
      <c r="H180" s="84"/>
      <c r="I180" s="79" t="str">
        <f t="shared" si="8"/>
        <v/>
      </c>
    </row>
    <row r="181" spans="1:9">
      <c r="A181" s="112"/>
      <c r="B181" s="113"/>
      <c r="C181" s="79" t="str">
        <f t="shared" si="6"/>
        <v/>
      </c>
      <c r="D181" s="83"/>
      <c r="E181" s="84"/>
      <c r="F181" s="79" t="str">
        <f t="shared" si="7"/>
        <v/>
      </c>
      <c r="G181" s="83"/>
      <c r="H181" s="84"/>
      <c r="I181" s="79" t="str">
        <f t="shared" si="8"/>
        <v/>
      </c>
    </row>
    <row r="182" spans="1:9">
      <c r="A182" s="112"/>
      <c r="B182" s="113"/>
      <c r="C182" s="79" t="str">
        <f t="shared" si="6"/>
        <v/>
      </c>
      <c r="D182" s="83"/>
      <c r="E182" s="84"/>
      <c r="F182" s="79" t="str">
        <f t="shared" si="7"/>
        <v/>
      </c>
      <c r="G182" s="83"/>
      <c r="H182" s="84"/>
      <c r="I182" s="79" t="str">
        <f t="shared" si="8"/>
        <v/>
      </c>
    </row>
    <row r="183" spans="1:9">
      <c r="A183" s="112"/>
      <c r="B183" s="113"/>
      <c r="C183" s="79" t="str">
        <f t="shared" si="6"/>
        <v/>
      </c>
      <c r="D183" s="83"/>
      <c r="E183" s="84"/>
      <c r="F183" s="79" t="str">
        <f t="shared" si="7"/>
        <v/>
      </c>
      <c r="G183" s="83"/>
      <c r="H183" s="84"/>
      <c r="I183" s="79" t="str">
        <f t="shared" si="8"/>
        <v/>
      </c>
    </row>
    <row r="184" spans="1:9">
      <c r="A184" s="112"/>
      <c r="B184" s="113"/>
      <c r="C184" s="79" t="str">
        <f t="shared" si="6"/>
        <v/>
      </c>
      <c r="D184" s="83"/>
      <c r="E184" s="84"/>
      <c r="F184" s="79" t="str">
        <f t="shared" si="7"/>
        <v/>
      </c>
      <c r="G184" s="83"/>
      <c r="H184" s="84"/>
      <c r="I184" s="79" t="str">
        <f t="shared" si="8"/>
        <v/>
      </c>
    </row>
    <row r="185" spans="1:9">
      <c r="A185" s="112"/>
      <c r="B185" s="113"/>
      <c r="C185" s="79" t="str">
        <f t="shared" si="6"/>
        <v/>
      </c>
      <c r="D185" s="83"/>
      <c r="E185" s="84"/>
      <c r="F185" s="79" t="str">
        <f t="shared" si="7"/>
        <v/>
      </c>
      <c r="G185" s="83"/>
      <c r="H185" s="84"/>
      <c r="I185" s="79" t="str">
        <f t="shared" si="8"/>
        <v/>
      </c>
    </row>
    <row r="186" spans="1:9">
      <c r="A186" s="112"/>
      <c r="B186" s="113"/>
      <c r="C186" s="79" t="str">
        <f t="shared" si="6"/>
        <v/>
      </c>
      <c r="D186" s="83"/>
      <c r="E186" s="84"/>
      <c r="F186" s="79" t="str">
        <f t="shared" si="7"/>
        <v/>
      </c>
      <c r="G186" s="83"/>
      <c r="H186" s="84"/>
      <c r="I186" s="79" t="str">
        <f t="shared" si="8"/>
        <v/>
      </c>
    </row>
    <row r="187" spans="1:9">
      <c r="A187" s="112"/>
      <c r="B187" s="113"/>
      <c r="C187" s="79" t="str">
        <f t="shared" si="6"/>
        <v/>
      </c>
      <c r="D187" s="83"/>
      <c r="E187" s="84"/>
      <c r="F187" s="79" t="str">
        <f t="shared" si="7"/>
        <v/>
      </c>
      <c r="G187" s="83"/>
      <c r="H187" s="84"/>
      <c r="I187" s="79" t="str">
        <f t="shared" si="8"/>
        <v/>
      </c>
    </row>
    <row r="188" spans="1:9">
      <c r="A188" s="112"/>
      <c r="B188" s="113"/>
      <c r="C188" s="79" t="str">
        <f t="shared" si="6"/>
        <v/>
      </c>
      <c r="D188" s="83"/>
      <c r="E188" s="84"/>
      <c r="F188" s="79" t="str">
        <f t="shared" si="7"/>
        <v/>
      </c>
      <c r="G188" s="83"/>
      <c r="H188" s="84"/>
      <c r="I188" s="79" t="str">
        <f t="shared" si="8"/>
        <v/>
      </c>
    </row>
    <row r="189" spans="1:9">
      <c r="A189" s="112"/>
      <c r="B189" s="113"/>
      <c r="C189" s="79" t="str">
        <f t="shared" si="6"/>
        <v/>
      </c>
      <c r="D189" s="83"/>
      <c r="E189" s="84"/>
      <c r="F189" s="79" t="str">
        <f t="shared" si="7"/>
        <v/>
      </c>
      <c r="G189" s="83"/>
      <c r="H189" s="84"/>
      <c r="I189" s="79" t="str">
        <f t="shared" si="8"/>
        <v/>
      </c>
    </row>
    <row r="190" spans="1:9">
      <c r="A190" s="112"/>
      <c r="B190" s="113"/>
      <c r="C190" s="79" t="str">
        <f t="shared" si="6"/>
        <v/>
      </c>
      <c r="D190" s="83"/>
      <c r="E190" s="84"/>
      <c r="F190" s="79" t="str">
        <f t="shared" si="7"/>
        <v/>
      </c>
      <c r="G190" s="83"/>
      <c r="H190" s="84"/>
      <c r="I190" s="79" t="str">
        <f t="shared" si="8"/>
        <v/>
      </c>
    </row>
    <row r="191" spans="1:9">
      <c r="A191" s="112"/>
      <c r="B191" s="113"/>
      <c r="C191" s="79" t="str">
        <f t="shared" si="6"/>
        <v/>
      </c>
      <c r="D191" s="83"/>
      <c r="E191" s="84"/>
      <c r="F191" s="79" t="str">
        <f t="shared" si="7"/>
        <v/>
      </c>
      <c r="G191" s="83"/>
      <c r="H191" s="84"/>
      <c r="I191" s="79" t="str">
        <f t="shared" si="8"/>
        <v/>
      </c>
    </row>
    <row r="192" spans="1:9">
      <c r="A192" s="112"/>
      <c r="B192" s="113"/>
      <c r="C192" s="79" t="str">
        <f t="shared" si="6"/>
        <v/>
      </c>
      <c r="D192" s="83"/>
      <c r="E192" s="84"/>
      <c r="F192" s="79" t="str">
        <f t="shared" si="7"/>
        <v/>
      </c>
      <c r="G192" s="83"/>
      <c r="H192" s="84"/>
      <c r="I192" s="79" t="str">
        <f t="shared" si="8"/>
        <v/>
      </c>
    </row>
    <row r="193" spans="1:9">
      <c r="A193" s="112"/>
      <c r="B193" s="113"/>
      <c r="C193" s="79" t="str">
        <f t="shared" si="6"/>
        <v/>
      </c>
      <c r="D193" s="83"/>
      <c r="E193" s="84"/>
      <c r="F193" s="79" t="str">
        <f t="shared" si="7"/>
        <v/>
      </c>
      <c r="G193" s="83"/>
      <c r="H193" s="84"/>
      <c r="I193" s="79" t="str">
        <f t="shared" si="8"/>
        <v/>
      </c>
    </row>
    <row r="194" spans="1:9">
      <c r="A194" s="112"/>
      <c r="B194" s="113"/>
      <c r="C194" s="79" t="str">
        <f t="shared" si="6"/>
        <v/>
      </c>
      <c r="D194" s="83"/>
      <c r="E194" s="84"/>
      <c r="F194" s="79" t="str">
        <f t="shared" si="7"/>
        <v/>
      </c>
      <c r="G194" s="83"/>
      <c r="H194" s="84"/>
      <c r="I194" s="79" t="str">
        <f t="shared" si="8"/>
        <v/>
      </c>
    </row>
    <row r="195" spans="1:9">
      <c r="A195" s="112"/>
      <c r="B195" s="113"/>
      <c r="C195" s="79" t="str">
        <f t="shared" si="6"/>
        <v/>
      </c>
      <c r="D195" s="83"/>
      <c r="E195" s="84"/>
      <c r="F195" s="79" t="str">
        <f t="shared" si="7"/>
        <v/>
      </c>
      <c r="G195" s="83"/>
      <c r="H195" s="84"/>
      <c r="I195" s="79" t="str">
        <f t="shared" si="8"/>
        <v/>
      </c>
    </row>
    <row r="196" spans="1:9">
      <c r="A196" s="112"/>
      <c r="B196" s="113"/>
      <c r="C196" s="79" t="str">
        <f t="shared" si="6"/>
        <v/>
      </c>
      <c r="D196" s="83"/>
      <c r="E196" s="84"/>
      <c r="F196" s="79" t="str">
        <f t="shared" si="7"/>
        <v/>
      </c>
      <c r="G196" s="83"/>
      <c r="H196" s="84"/>
      <c r="I196" s="79" t="str">
        <f t="shared" si="8"/>
        <v/>
      </c>
    </row>
    <row r="197" spans="1:9">
      <c r="A197" s="112"/>
      <c r="B197" s="113"/>
      <c r="C197" s="79" t="str">
        <f t="shared" ref="C197:C260" si="9">IF(B197&gt;0,TEXT(B197,"(aaa)"),"")</f>
        <v/>
      </c>
      <c r="D197" s="83"/>
      <c r="E197" s="84"/>
      <c r="F197" s="79" t="str">
        <f t="shared" ref="F197:F260" si="10">IF(E197&gt;0,TEXT(E197,"(aaa)"),"")</f>
        <v/>
      </c>
      <c r="G197" s="83"/>
      <c r="H197" s="84"/>
      <c r="I197" s="79" t="str">
        <f t="shared" ref="I197:I260" si="11">IF(H197&gt;0,TEXT(H197,"(aaa)"),"")</f>
        <v/>
      </c>
    </row>
    <row r="198" spans="1:9">
      <c r="A198" s="112"/>
      <c r="B198" s="113"/>
      <c r="C198" s="79" t="str">
        <f t="shared" si="9"/>
        <v/>
      </c>
      <c r="D198" s="83"/>
      <c r="E198" s="84"/>
      <c r="F198" s="79" t="str">
        <f t="shared" si="10"/>
        <v/>
      </c>
      <c r="G198" s="83"/>
      <c r="H198" s="84"/>
      <c r="I198" s="79" t="str">
        <f t="shared" si="11"/>
        <v/>
      </c>
    </row>
    <row r="199" spans="1:9">
      <c r="A199" s="112"/>
      <c r="B199" s="113"/>
      <c r="C199" s="79" t="str">
        <f t="shared" si="9"/>
        <v/>
      </c>
      <c r="D199" s="83"/>
      <c r="E199" s="84"/>
      <c r="F199" s="79" t="str">
        <f t="shared" si="10"/>
        <v/>
      </c>
      <c r="G199" s="83"/>
      <c r="H199" s="84"/>
      <c r="I199" s="79" t="str">
        <f t="shared" si="11"/>
        <v/>
      </c>
    </row>
    <row r="200" spans="1:9">
      <c r="A200" s="112"/>
      <c r="B200" s="113"/>
      <c r="C200" s="79" t="str">
        <f t="shared" si="9"/>
        <v/>
      </c>
      <c r="D200" s="83"/>
      <c r="E200" s="84"/>
      <c r="F200" s="79" t="str">
        <f t="shared" si="10"/>
        <v/>
      </c>
      <c r="G200" s="83"/>
      <c r="H200" s="84"/>
      <c r="I200" s="79" t="str">
        <f t="shared" si="11"/>
        <v/>
      </c>
    </row>
    <row r="201" spans="1:9">
      <c r="A201" s="112"/>
      <c r="B201" s="113"/>
      <c r="C201" s="79" t="str">
        <f t="shared" si="9"/>
        <v/>
      </c>
      <c r="D201" s="83"/>
      <c r="E201" s="84"/>
      <c r="F201" s="79" t="str">
        <f t="shared" si="10"/>
        <v/>
      </c>
      <c r="G201" s="83"/>
      <c r="H201" s="84"/>
      <c r="I201" s="79" t="str">
        <f t="shared" si="11"/>
        <v/>
      </c>
    </row>
    <row r="202" spans="1:9">
      <c r="A202" s="112"/>
      <c r="B202" s="113"/>
      <c r="C202" s="79" t="str">
        <f t="shared" si="9"/>
        <v/>
      </c>
      <c r="D202" s="83"/>
      <c r="E202" s="84"/>
      <c r="F202" s="79" t="str">
        <f t="shared" si="10"/>
        <v/>
      </c>
      <c r="G202" s="83"/>
      <c r="H202" s="84"/>
      <c r="I202" s="79" t="str">
        <f t="shared" si="11"/>
        <v/>
      </c>
    </row>
    <row r="203" spans="1:9">
      <c r="A203" s="112"/>
      <c r="B203" s="113"/>
      <c r="C203" s="79" t="str">
        <f t="shared" si="9"/>
        <v/>
      </c>
      <c r="D203" s="83"/>
      <c r="E203" s="84"/>
      <c r="F203" s="79" t="str">
        <f t="shared" si="10"/>
        <v/>
      </c>
      <c r="G203" s="83"/>
      <c r="H203" s="84"/>
      <c r="I203" s="79" t="str">
        <f t="shared" si="11"/>
        <v/>
      </c>
    </row>
    <row r="204" spans="1:9">
      <c r="A204" s="112"/>
      <c r="B204" s="113"/>
      <c r="C204" s="79" t="str">
        <f t="shared" si="9"/>
        <v/>
      </c>
      <c r="D204" s="83"/>
      <c r="E204" s="84"/>
      <c r="F204" s="79" t="str">
        <f t="shared" si="10"/>
        <v/>
      </c>
      <c r="G204" s="83"/>
      <c r="H204" s="84"/>
      <c r="I204" s="79" t="str">
        <f t="shared" si="11"/>
        <v/>
      </c>
    </row>
    <row r="205" spans="1:9">
      <c r="A205" s="112"/>
      <c r="B205" s="113"/>
      <c r="C205" s="79" t="str">
        <f t="shared" si="9"/>
        <v/>
      </c>
      <c r="D205" s="83"/>
      <c r="E205" s="84"/>
      <c r="F205" s="79" t="str">
        <f t="shared" si="10"/>
        <v/>
      </c>
      <c r="G205" s="83"/>
      <c r="H205" s="84"/>
      <c r="I205" s="79" t="str">
        <f t="shared" si="11"/>
        <v/>
      </c>
    </row>
    <row r="206" spans="1:9">
      <c r="A206" s="112"/>
      <c r="B206" s="113"/>
      <c r="C206" s="79" t="str">
        <f t="shared" si="9"/>
        <v/>
      </c>
      <c r="D206" s="83"/>
      <c r="E206" s="84"/>
      <c r="F206" s="79" t="str">
        <f t="shared" si="10"/>
        <v/>
      </c>
      <c r="G206" s="83"/>
      <c r="H206" s="84"/>
      <c r="I206" s="79" t="str">
        <f t="shared" si="11"/>
        <v/>
      </c>
    </row>
    <row r="207" spans="1:9">
      <c r="A207" s="112"/>
      <c r="B207" s="113"/>
      <c r="C207" s="79" t="str">
        <f t="shared" si="9"/>
        <v/>
      </c>
      <c r="D207" s="83"/>
      <c r="E207" s="84"/>
      <c r="F207" s="79" t="str">
        <f t="shared" si="10"/>
        <v/>
      </c>
      <c r="G207" s="83"/>
      <c r="H207" s="84"/>
      <c r="I207" s="79" t="str">
        <f t="shared" si="11"/>
        <v/>
      </c>
    </row>
    <row r="208" spans="1:9">
      <c r="A208" s="112"/>
      <c r="B208" s="113"/>
      <c r="C208" s="79" t="str">
        <f t="shared" si="9"/>
        <v/>
      </c>
      <c r="D208" s="83"/>
      <c r="E208" s="84"/>
      <c r="F208" s="79" t="str">
        <f t="shared" si="10"/>
        <v/>
      </c>
      <c r="G208" s="83"/>
      <c r="H208" s="84"/>
      <c r="I208" s="79" t="str">
        <f t="shared" si="11"/>
        <v/>
      </c>
    </row>
    <row r="209" spans="1:9">
      <c r="A209" s="112"/>
      <c r="B209" s="113"/>
      <c r="C209" s="79" t="str">
        <f t="shared" si="9"/>
        <v/>
      </c>
      <c r="D209" s="83"/>
      <c r="E209" s="84"/>
      <c r="F209" s="79" t="str">
        <f t="shared" si="10"/>
        <v/>
      </c>
      <c r="G209" s="83"/>
      <c r="H209" s="84"/>
      <c r="I209" s="79" t="str">
        <f t="shared" si="11"/>
        <v/>
      </c>
    </row>
    <row r="210" spans="1:9">
      <c r="A210" s="112"/>
      <c r="B210" s="113"/>
      <c r="C210" s="79" t="str">
        <f t="shared" si="9"/>
        <v/>
      </c>
      <c r="D210" s="83"/>
      <c r="E210" s="84"/>
      <c r="F210" s="79" t="str">
        <f t="shared" si="10"/>
        <v/>
      </c>
      <c r="G210" s="83"/>
      <c r="H210" s="84"/>
      <c r="I210" s="79" t="str">
        <f t="shared" si="11"/>
        <v/>
      </c>
    </row>
    <row r="211" spans="1:9">
      <c r="A211" s="112"/>
      <c r="B211" s="113"/>
      <c r="C211" s="79" t="str">
        <f t="shared" si="9"/>
        <v/>
      </c>
      <c r="D211" s="83"/>
      <c r="E211" s="84"/>
      <c r="F211" s="79" t="str">
        <f t="shared" si="10"/>
        <v/>
      </c>
      <c r="G211" s="83"/>
      <c r="H211" s="84"/>
      <c r="I211" s="79" t="str">
        <f t="shared" si="11"/>
        <v/>
      </c>
    </row>
    <row r="212" spans="1:9">
      <c r="A212" s="112"/>
      <c r="B212" s="113"/>
      <c r="C212" s="79" t="str">
        <f t="shared" si="9"/>
        <v/>
      </c>
      <c r="D212" s="83"/>
      <c r="E212" s="84"/>
      <c r="F212" s="79" t="str">
        <f t="shared" si="10"/>
        <v/>
      </c>
      <c r="G212" s="83"/>
      <c r="H212" s="84"/>
      <c r="I212" s="79" t="str">
        <f t="shared" si="11"/>
        <v/>
      </c>
    </row>
    <row r="213" spans="1:9">
      <c r="A213" s="112"/>
      <c r="B213" s="113"/>
      <c r="C213" s="79" t="str">
        <f t="shared" si="9"/>
        <v/>
      </c>
      <c r="D213" s="83"/>
      <c r="E213" s="84"/>
      <c r="F213" s="79" t="str">
        <f t="shared" si="10"/>
        <v/>
      </c>
      <c r="G213" s="83"/>
      <c r="H213" s="84"/>
      <c r="I213" s="79" t="str">
        <f t="shared" si="11"/>
        <v/>
      </c>
    </row>
    <row r="214" spans="1:9">
      <c r="A214" s="112"/>
      <c r="B214" s="113"/>
      <c r="C214" s="79" t="str">
        <f t="shared" si="9"/>
        <v/>
      </c>
      <c r="D214" s="83"/>
      <c r="E214" s="84"/>
      <c r="F214" s="79" t="str">
        <f t="shared" si="10"/>
        <v/>
      </c>
      <c r="G214" s="83"/>
      <c r="H214" s="84"/>
      <c r="I214" s="79" t="str">
        <f t="shared" si="11"/>
        <v/>
      </c>
    </row>
    <row r="215" spans="1:9">
      <c r="A215" s="112"/>
      <c r="B215" s="113"/>
      <c r="C215" s="79" t="str">
        <f t="shared" si="9"/>
        <v/>
      </c>
      <c r="D215" s="83"/>
      <c r="E215" s="84"/>
      <c r="F215" s="79" t="str">
        <f t="shared" si="10"/>
        <v/>
      </c>
      <c r="G215" s="83"/>
      <c r="H215" s="84"/>
      <c r="I215" s="79" t="str">
        <f t="shared" si="11"/>
        <v/>
      </c>
    </row>
    <row r="216" spans="1:9">
      <c r="A216" s="112"/>
      <c r="B216" s="113"/>
      <c r="C216" s="79" t="str">
        <f t="shared" si="9"/>
        <v/>
      </c>
      <c r="D216" s="83"/>
      <c r="E216" s="84"/>
      <c r="F216" s="79" t="str">
        <f t="shared" si="10"/>
        <v/>
      </c>
      <c r="G216" s="83"/>
      <c r="H216" s="84"/>
      <c r="I216" s="79" t="str">
        <f t="shared" si="11"/>
        <v/>
      </c>
    </row>
    <row r="217" spans="1:9">
      <c r="A217" s="112"/>
      <c r="B217" s="113"/>
      <c r="C217" s="79" t="str">
        <f t="shared" si="9"/>
        <v/>
      </c>
      <c r="D217" s="83"/>
      <c r="E217" s="84"/>
      <c r="F217" s="79" t="str">
        <f t="shared" si="10"/>
        <v/>
      </c>
      <c r="G217" s="83"/>
      <c r="H217" s="84"/>
      <c r="I217" s="79" t="str">
        <f t="shared" si="11"/>
        <v/>
      </c>
    </row>
    <row r="218" spans="1:9">
      <c r="A218" s="112"/>
      <c r="B218" s="113"/>
      <c r="C218" s="79" t="str">
        <f t="shared" si="9"/>
        <v/>
      </c>
      <c r="D218" s="83"/>
      <c r="E218" s="84"/>
      <c r="F218" s="79" t="str">
        <f t="shared" si="10"/>
        <v/>
      </c>
      <c r="G218" s="83"/>
      <c r="H218" s="84"/>
      <c r="I218" s="79" t="str">
        <f t="shared" si="11"/>
        <v/>
      </c>
    </row>
    <row r="219" spans="1:9">
      <c r="A219" s="112"/>
      <c r="B219" s="113"/>
      <c r="C219" s="79" t="str">
        <f t="shared" si="9"/>
        <v/>
      </c>
      <c r="D219" s="83"/>
      <c r="E219" s="84"/>
      <c r="F219" s="79" t="str">
        <f t="shared" si="10"/>
        <v/>
      </c>
      <c r="G219" s="83"/>
      <c r="H219" s="84"/>
      <c r="I219" s="79" t="str">
        <f t="shared" si="11"/>
        <v/>
      </c>
    </row>
    <row r="220" spans="1:9">
      <c r="A220" s="112"/>
      <c r="B220" s="113"/>
      <c r="C220" s="79" t="str">
        <f t="shared" si="9"/>
        <v/>
      </c>
      <c r="D220" s="83"/>
      <c r="E220" s="84"/>
      <c r="F220" s="79" t="str">
        <f t="shared" si="10"/>
        <v/>
      </c>
      <c r="G220" s="83"/>
      <c r="H220" s="84"/>
      <c r="I220" s="79" t="str">
        <f t="shared" si="11"/>
        <v/>
      </c>
    </row>
    <row r="221" spans="1:9">
      <c r="A221" s="112"/>
      <c r="B221" s="113"/>
      <c r="C221" s="79" t="str">
        <f t="shared" si="9"/>
        <v/>
      </c>
      <c r="D221" s="83"/>
      <c r="E221" s="84"/>
      <c r="F221" s="79" t="str">
        <f t="shared" si="10"/>
        <v/>
      </c>
      <c r="G221" s="83"/>
      <c r="H221" s="84"/>
      <c r="I221" s="79" t="str">
        <f t="shared" si="11"/>
        <v/>
      </c>
    </row>
    <row r="222" spans="1:9">
      <c r="A222" s="112"/>
      <c r="B222" s="113"/>
      <c r="C222" s="79" t="str">
        <f t="shared" si="9"/>
        <v/>
      </c>
      <c r="D222" s="83"/>
      <c r="E222" s="84"/>
      <c r="F222" s="79" t="str">
        <f t="shared" si="10"/>
        <v/>
      </c>
      <c r="G222" s="83"/>
      <c r="H222" s="84"/>
      <c r="I222" s="79" t="str">
        <f t="shared" si="11"/>
        <v/>
      </c>
    </row>
    <row r="223" spans="1:9">
      <c r="A223" s="112"/>
      <c r="B223" s="113"/>
      <c r="C223" s="79" t="str">
        <f t="shared" si="9"/>
        <v/>
      </c>
      <c r="D223" s="83"/>
      <c r="E223" s="84"/>
      <c r="F223" s="79" t="str">
        <f t="shared" si="10"/>
        <v/>
      </c>
      <c r="G223" s="83"/>
      <c r="H223" s="84"/>
      <c r="I223" s="79" t="str">
        <f t="shared" si="11"/>
        <v/>
      </c>
    </row>
    <row r="224" spans="1:9">
      <c r="A224" s="112"/>
      <c r="B224" s="113"/>
      <c r="C224" s="79" t="str">
        <f t="shared" si="9"/>
        <v/>
      </c>
      <c r="D224" s="83"/>
      <c r="E224" s="84"/>
      <c r="F224" s="79" t="str">
        <f t="shared" si="10"/>
        <v/>
      </c>
      <c r="G224" s="83"/>
      <c r="H224" s="84"/>
      <c r="I224" s="79" t="str">
        <f t="shared" si="11"/>
        <v/>
      </c>
    </row>
    <row r="225" spans="1:9">
      <c r="A225" s="112"/>
      <c r="B225" s="113"/>
      <c r="C225" s="79" t="str">
        <f t="shared" si="9"/>
        <v/>
      </c>
      <c r="D225" s="83"/>
      <c r="E225" s="84"/>
      <c r="F225" s="79" t="str">
        <f t="shared" si="10"/>
        <v/>
      </c>
      <c r="G225" s="83"/>
      <c r="H225" s="84"/>
      <c r="I225" s="79" t="str">
        <f t="shared" si="11"/>
        <v/>
      </c>
    </row>
    <row r="226" spans="1:9">
      <c r="A226" s="112"/>
      <c r="B226" s="113"/>
      <c r="C226" s="79" t="str">
        <f t="shared" si="9"/>
        <v/>
      </c>
      <c r="D226" s="83"/>
      <c r="E226" s="84"/>
      <c r="F226" s="79" t="str">
        <f t="shared" si="10"/>
        <v/>
      </c>
      <c r="G226" s="83"/>
      <c r="H226" s="84"/>
      <c r="I226" s="79" t="str">
        <f t="shared" si="11"/>
        <v/>
      </c>
    </row>
    <row r="227" spans="1:9">
      <c r="A227" s="112"/>
      <c r="B227" s="113"/>
      <c r="C227" s="79" t="str">
        <f t="shared" si="9"/>
        <v/>
      </c>
      <c r="D227" s="83"/>
      <c r="E227" s="84"/>
      <c r="F227" s="79" t="str">
        <f t="shared" si="10"/>
        <v/>
      </c>
      <c r="G227" s="83"/>
      <c r="H227" s="84"/>
      <c r="I227" s="79" t="str">
        <f t="shared" si="11"/>
        <v/>
      </c>
    </row>
    <row r="228" spans="1:9">
      <c r="A228" s="112"/>
      <c r="B228" s="113"/>
      <c r="C228" s="79" t="str">
        <f t="shared" si="9"/>
        <v/>
      </c>
      <c r="D228" s="83"/>
      <c r="E228" s="84"/>
      <c r="F228" s="79" t="str">
        <f t="shared" si="10"/>
        <v/>
      </c>
      <c r="G228" s="83"/>
      <c r="H228" s="84"/>
      <c r="I228" s="79" t="str">
        <f t="shared" si="11"/>
        <v/>
      </c>
    </row>
    <row r="229" spans="1:9">
      <c r="A229" s="112"/>
      <c r="B229" s="113"/>
      <c r="C229" s="79" t="str">
        <f t="shared" si="9"/>
        <v/>
      </c>
      <c r="D229" s="83"/>
      <c r="E229" s="84"/>
      <c r="F229" s="79" t="str">
        <f t="shared" si="10"/>
        <v/>
      </c>
      <c r="G229" s="83"/>
      <c r="H229" s="84"/>
      <c r="I229" s="79" t="str">
        <f t="shared" si="11"/>
        <v/>
      </c>
    </row>
    <row r="230" spans="1:9">
      <c r="A230" s="112"/>
      <c r="B230" s="113"/>
      <c r="C230" s="79" t="str">
        <f t="shared" si="9"/>
        <v/>
      </c>
      <c r="D230" s="83"/>
      <c r="E230" s="84"/>
      <c r="F230" s="79" t="str">
        <f t="shared" si="10"/>
        <v/>
      </c>
      <c r="G230" s="83"/>
      <c r="H230" s="84"/>
      <c r="I230" s="79" t="str">
        <f t="shared" si="11"/>
        <v/>
      </c>
    </row>
    <row r="231" spans="1:9">
      <c r="A231" s="112"/>
      <c r="B231" s="113"/>
      <c r="C231" s="79" t="str">
        <f t="shared" si="9"/>
        <v/>
      </c>
      <c r="D231" s="83"/>
      <c r="E231" s="84"/>
      <c r="F231" s="79" t="str">
        <f t="shared" si="10"/>
        <v/>
      </c>
      <c r="G231" s="83"/>
      <c r="H231" s="84"/>
      <c r="I231" s="79" t="str">
        <f t="shared" si="11"/>
        <v/>
      </c>
    </row>
    <row r="232" spans="1:9">
      <c r="A232" s="112"/>
      <c r="B232" s="113"/>
      <c r="C232" s="79" t="str">
        <f t="shared" si="9"/>
        <v/>
      </c>
      <c r="D232" s="83"/>
      <c r="E232" s="84"/>
      <c r="F232" s="79" t="str">
        <f t="shared" si="10"/>
        <v/>
      </c>
      <c r="G232" s="83"/>
      <c r="H232" s="84"/>
      <c r="I232" s="79" t="str">
        <f t="shared" si="11"/>
        <v/>
      </c>
    </row>
    <row r="233" spans="1:9">
      <c r="A233" s="112"/>
      <c r="B233" s="113"/>
      <c r="C233" s="79" t="str">
        <f t="shared" si="9"/>
        <v/>
      </c>
      <c r="D233" s="83"/>
      <c r="E233" s="84"/>
      <c r="F233" s="79" t="str">
        <f t="shared" si="10"/>
        <v/>
      </c>
      <c r="G233" s="83"/>
      <c r="H233" s="84"/>
      <c r="I233" s="79" t="str">
        <f t="shared" si="11"/>
        <v/>
      </c>
    </row>
    <row r="234" spans="1:9">
      <c r="A234" s="112"/>
      <c r="B234" s="113"/>
      <c r="C234" s="79" t="str">
        <f t="shared" si="9"/>
        <v/>
      </c>
      <c r="D234" s="83"/>
      <c r="E234" s="84"/>
      <c r="F234" s="79" t="str">
        <f t="shared" si="10"/>
        <v/>
      </c>
      <c r="G234" s="83"/>
      <c r="H234" s="84"/>
      <c r="I234" s="79" t="str">
        <f t="shared" si="11"/>
        <v/>
      </c>
    </row>
    <row r="235" spans="1:9">
      <c r="A235" s="112"/>
      <c r="B235" s="113"/>
      <c r="C235" s="79" t="str">
        <f t="shared" si="9"/>
        <v/>
      </c>
      <c r="D235" s="83"/>
      <c r="E235" s="84"/>
      <c r="F235" s="79" t="str">
        <f t="shared" si="10"/>
        <v/>
      </c>
      <c r="G235" s="83"/>
      <c r="H235" s="84"/>
      <c r="I235" s="79" t="str">
        <f t="shared" si="11"/>
        <v/>
      </c>
    </row>
    <row r="236" spans="1:9">
      <c r="A236" s="112"/>
      <c r="B236" s="113"/>
      <c r="C236" s="79" t="str">
        <f t="shared" si="9"/>
        <v/>
      </c>
      <c r="D236" s="83"/>
      <c r="E236" s="84"/>
      <c r="F236" s="79" t="str">
        <f t="shared" si="10"/>
        <v/>
      </c>
      <c r="G236" s="83"/>
      <c r="H236" s="84"/>
      <c r="I236" s="79" t="str">
        <f t="shared" si="11"/>
        <v/>
      </c>
    </row>
    <row r="237" spans="1:9">
      <c r="A237" s="112"/>
      <c r="B237" s="113"/>
      <c r="C237" s="79" t="str">
        <f t="shared" si="9"/>
        <v/>
      </c>
      <c r="D237" s="83"/>
      <c r="E237" s="84"/>
      <c r="F237" s="79" t="str">
        <f t="shared" si="10"/>
        <v/>
      </c>
      <c r="G237" s="83"/>
      <c r="H237" s="84"/>
      <c r="I237" s="79" t="str">
        <f t="shared" si="11"/>
        <v/>
      </c>
    </row>
    <row r="238" spans="1:9">
      <c r="A238" s="112"/>
      <c r="B238" s="113"/>
      <c r="C238" s="79" t="str">
        <f t="shared" si="9"/>
        <v/>
      </c>
      <c r="D238" s="83"/>
      <c r="E238" s="84"/>
      <c r="F238" s="79" t="str">
        <f t="shared" si="10"/>
        <v/>
      </c>
      <c r="G238" s="83"/>
      <c r="H238" s="84"/>
      <c r="I238" s="79" t="str">
        <f t="shared" si="11"/>
        <v/>
      </c>
    </row>
    <row r="239" spans="1:9">
      <c r="A239" s="112"/>
      <c r="B239" s="113"/>
      <c r="C239" s="79" t="str">
        <f t="shared" si="9"/>
        <v/>
      </c>
      <c r="D239" s="83"/>
      <c r="E239" s="84"/>
      <c r="F239" s="79" t="str">
        <f t="shared" si="10"/>
        <v/>
      </c>
      <c r="G239" s="83"/>
      <c r="H239" s="84"/>
      <c r="I239" s="79" t="str">
        <f t="shared" si="11"/>
        <v/>
      </c>
    </row>
    <row r="240" spans="1:9">
      <c r="A240" s="112"/>
      <c r="B240" s="113"/>
      <c r="C240" s="79" t="str">
        <f t="shared" si="9"/>
        <v/>
      </c>
      <c r="D240" s="83"/>
      <c r="E240" s="84"/>
      <c r="F240" s="79" t="str">
        <f t="shared" si="10"/>
        <v/>
      </c>
      <c r="G240" s="83"/>
      <c r="H240" s="84"/>
      <c r="I240" s="79" t="str">
        <f t="shared" si="11"/>
        <v/>
      </c>
    </row>
    <row r="241" spans="1:9">
      <c r="A241" s="112"/>
      <c r="B241" s="113"/>
      <c r="C241" s="79" t="str">
        <f t="shared" si="9"/>
        <v/>
      </c>
      <c r="D241" s="83"/>
      <c r="E241" s="84"/>
      <c r="F241" s="79" t="str">
        <f t="shared" si="10"/>
        <v/>
      </c>
      <c r="G241" s="83"/>
      <c r="H241" s="84"/>
      <c r="I241" s="79" t="str">
        <f t="shared" si="11"/>
        <v/>
      </c>
    </row>
    <row r="242" spans="1:9">
      <c r="A242" s="83"/>
      <c r="B242" s="84"/>
      <c r="C242" s="79" t="str">
        <f t="shared" si="9"/>
        <v/>
      </c>
      <c r="D242" s="83"/>
      <c r="E242" s="84"/>
      <c r="F242" s="79" t="str">
        <f t="shared" si="10"/>
        <v/>
      </c>
      <c r="G242" s="83"/>
      <c r="H242" s="84"/>
      <c r="I242" s="79" t="str">
        <f t="shared" si="11"/>
        <v/>
      </c>
    </row>
    <row r="243" spans="1:9">
      <c r="A243" s="83"/>
      <c r="B243" s="84"/>
      <c r="C243" s="79" t="str">
        <f t="shared" si="9"/>
        <v/>
      </c>
      <c r="D243" s="83"/>
      <c r="E243" s="84"/>
      <c r="F243" s="79" t="str">
        <f t="shared" si="10"/>
        <v/>
      </c>
      <c r="G243" s="83"/>
      <c r="H243" s="84"/>
      <c r="I243" s="79" t="str">
        <f t="shared" si="11"/>
        <v/>
      </c>
    </row>
    <row r="244" spans="1:9">
      <c r="A244" s="83"/>
      <c r="B244" s="84"/>
      <c r="C244" s="79" t="str">
        <f t="shared" si="9"/>
        <v/>
      </c>
      <c r="D244" s="83"/>
      <c r="E244" s="84"/>
      <c r="F244" s="79" t="str">
        <f t="shared" si="10"/>
        <v/>
      </c>
      <c r="G244" s="83"/>
      <c r="H244" s="84"/>
      <c r="I244" s="79" t="str">
        <f t="shared" si="11"/>
        <v/>
      </c>
    </row>
    <row r="245" spans="1:9">
      <c r="A245" s="83"/>
      <c r="B245" s="84"/>
      <c r="C245" s="79" t="str">
        <f t="shared" si="9"/>
        <v/>
      </c>
      <c r="D245" s="83"/>
      <c r="E245" s="84"/>
      <c r="F245" s="79" t="str">
        <f t="shared" si="10"/>
        <v/>
      </c>
      <c r="G245" s="83"/>
      <c r="H245" s="84"/>
      <c r="I245" s="79" t="str">
        <f t="shared" si="11"/>
        <v/>
      </c>
    </row>
    <row r="246" spans="1:9">
      <c r="A246" s="83"/>
      <c r="B246" s="84"/>
      <c r="C246" s="79" t="str">
        <f t="shared" si="9"/>
        <v/>
      </c>
      <c r="D246" s="83"/>
      <c r="E246" s="84"/>
      <c r="F246" s="79" t="str">
        <f t="shared" si="10"/>
        <v/>
      </c>
      <c r="G246" s="83"/>
      <c r="H246" s="84"/>
      <c r="I246" s="79" t="str">
        <f t="shared" si="11"/>
        <v/>
      </c>
    </row>
    <row r="247" spans="1:9">
      <c r="A247" s="83"/>
      <c r="B247" s="84"/>
      <c r="C247" s="79" t="str">
        <f t="shared" si="9"/>
        <v/>
      </c>
      <c r="D247" s="83"/>
      <c r="E247" s="84"/>
      <c r="F247" s="79" t="str">
        <f t="shared" si="10"/>
        <v/>
      </c>
      <c r="G247" s="83"/>
      <c r="H247" s="84"/>
      <c r="I247" s="79" t="str">
        <f t="shared" si="11"/>
        <v/>
      </c>
    </row>
    <row r="248" spans="1:9">
      <c r="A248" s="83"/>
      <c r="B248" s="84"/>
      <c r="C248" s="79" t="str">
        <f t="shared" si="9"/>
        <v/>
      </c>
      <c r="D248" s="83"/>
      <c r="E248" s="84"/>
      <c r="F248" s="79" t="str">
        <f t="shared" si="10"/>
        <v/>
      </c>
      <c r="G248" s="83"/>
      <c r="H248" s="84"/>
      <c r="I248" s="79" t="str">
        <f t="shared" si="11"/>
        <v/>
      </c>
    </row>
    <row r="249" spans="1:9">
      <c r="A249" s="83"/>
      <c r="B249" s="84"/>
      <c r="C249" s="79" t="str">
        <f t="shared" si="9"/>
        <v/>
      </c>
      <c r="D249" s="83"/>
      <c r="E249" s="84"/>
      <c r="F249" s="79" t="str">
        <f t="shared" si="10"/>
        <v/>
      </c>
      <c r="G249" s="83"/>
      <c r="H249" s="84"/>
      <c r="I249" s="79" t="str">
        <f t="shared" si="11"/>
        <v/>
      </c>
    </row>
    <row r="250" spans="1:9">
      <c r="A250" s="83"/>
      <c r="B250" s="84"/>
      <c r="C250" s="79" t="str">
        <f t="shared" si="9"/>
        <v/>
      </c>
      <c r="D250" s="83"/>
      <c r="E250" s="84"/>
      <c r="F250" s="79" t="str">
        <f t="shared" si="10"/>
        <v/>
      </c>
      <c r="G250" s="83"/>
      <c r="H250" s="84"/>
      <c r="I250" s="79" t="str">
        <f t="shared" si="11"/>
        <v/>
      </c>
    </row>
    <row r="251" spans="1:9">
      <c r="A251" s="83"/>
      <c r="B251" s="84"/>
      <c r="C251" s="79" t="str">
        <f t="shared" si="9"/>
        <v/>
      </c>
      <c r="D251" s="83"/>
      <c r="E251" s="84"/>
      <c r="F251" s="79" t="str">
        <f t="shared" si="10"/>
        <v/>
      </c>
      <c r="G251" s="83"/>
      <c r="H251" s="84"/>
      <c r="I251" s="79" t="str">
        <f t="shared" si="11"/>
        <v/>
      </c>
    </row>
    <row r="252" spans="1:9">
      <c r="A252" s="83"/>
      <c r="B252" s="84"/>
      <c r="C252" s="79" t="str">
        <f t="shared" si="9"/>
        <v/>
      </c>
      <c r="D252" s="83"/>
      <c r="E252" s="84"/>
      <c r="F252" s="79" t="str">
        <f t="shared" si="10"/>
        <v/>
      </c>
      <c r="G252" s="83"/>
      <c r="H252" s="84"/>
      <c r="I252" s="79" t="str">
        <f t="shared" si="11"/>
        <v/>
      </c>
    </row>
    <row r="253" spans="1:9">
      <c r="A253" s="83"/>
      <c r="B253" s="84"/>
      <c r="C253" s="79" t="str">
        <f t="shared" si="9"/>
        <v/>
      </c>
      <c r="D253" s="83"/>
      <c r="E253" s="84"/>
      <c r="F253" s="79" t="str">
        <f t="shared" si="10"/>
        <v/>
      </c>
      <c r="G253" s="83"/>
      <c r="H253" s="84"/>
      <c r="I253" s="79" t="str">
        <f t="shared" si="11"/>
        <v/>
      </c>
    </row>
    <row r="254" spans="1:9">
      <c r="A254" s="83"/>
      <c r="B254" s="84"/>
      <c r="C254" s="79" t="str">
        <f t="shared" si="9"/>
        <v/>
      </c>
      <c r="D254" s="83"/>
      <c r="E254" s="84"/>
      <c r="F254" s="79" t="str">
        <f t="shared" si="10"/>
        <v/>
      </c>
      <c r="G254" s="83"/>
      <c r="H254" s="84"/>
      <c r="I254" s="79" t="str">
        <f t="shared" si="11"/>
        <v/>
      </c>
    </row>
    <row r="255" spans="1:9">
      <c r="A255" s="83"/>
      <c r="B255" s="84"/>
      <c r="C255" s="79" t="str">
        <f t="shared" si="9"/>
        <v/>
      </c>
      <c r="D255" s="83"/>
      <c r="E255" s="84"/>
      <c r="F255" s="79" t="str">
        <f t="shared" si="10"/>
        <v/>
      </c>
      <c r="G255" s="83"/>
      <c r="H255" s="84"/>
      <c r="I255" s="79" t="str">
        <f t="shared" si="11"/>
        <v/>
      </c>
    </row>
    <row r="256" spans="1:9">
      <c r="A256" s="83"/>
      <c r="B256" s="84"/>
      <c r="C256" s="79" t="str">
        <f t="shared" si="9"/>
        <v/>
      </c>
      <c r="D256" s="83"/>
      <c r="E256" s="84"/>
      <c r="F256" s="79" t="str">
        <f t="shared" si="10"/>
        <v/>
      </c>
      <c r="G256" s="83"/>
      <c r="H256" s="84"/>
      <c r="I256" s="79" t="str">
        <f t="shared" si="11"/>
        <v/>
      </c>
    </row>
    <row r="257" spans="1:9">
      <c r="A257" s="83"/>
      <c r="B257" s="84"/>
      <c r="C257" s="79" t="str">
        <f t="shared" si="9"/>
        <v/>
      </c>
      <c r="D257" s="83"/>
      <c r="E257" s="84"/>
      <c r="F257" s="79" t="str">
        <f t="shared" si="10"/>
        <v/>
      </c>
      <c r="G257" s="83"/>
      <c r="H257" s="84"/>
      <c r="I257" s="79" t="str">
        <f t="shared" si="11"/>
        <v/>
      </c>
    </row>
    <row r="258" spans="1:9">
      <c r="A258" s="83"/>
      <c r="B258" s="84"/>
      <c r="C258" s="79" t="str">
        <f t="shared" si="9"/>
        <v/>
      </c>
      <c r="D258" s="83"/>
      <c r="E258" s="84"/>
      <c r="F258" s="79" t="str">
        <f t="shared" si="10"/>
        <v/>
      </c>
      <c r="G258" s="83"/>
      <c r="H258" s="84"/>
      <c r="I258" s="79" t="str">
        <f t="shared" si="11"/>
        <v/>
      </c>
    </row>
    <row r="259" spans="1:9">
      <c r="A259" s="83"/>
      <c r="B259" s="84"/>
      <c r="C259" s="79" t="str">
        <f t="shared" si="9"/>
        <v/>
      </c>
      <c r="D259" s="83"/>
      <c r="E259" s="84"/>
      <c r="F259" s="79" t="str">
        <f t="shared" si="10"/>
        <v/>
      </c>
      <c r="G259" s="83"/>
      <c r="H259" s="84"/>
      <c r="I259" s="79" t="str">
        <f t="shared" si="11"/>
        <v/>
      </c>
    </row>
    <row r="260" spans="1:9">
      <c r="A260" s="83"/>
      <c r="B260" s="84"/>
      <c r="C260" s="79" t="str">
        <f t="shared" si="9"/>
        <v/>
      </c>
      <c r="D260" s="83"/>
      <c r="E260" s="84"/>
      <c r="F260" s="79" t="str">
        <f t="shared" si="10"/>
        <v/>
      </c>
      <c r="G260" s="83"/>
      <c r="H260" s="84"/>
      <c r="I260" s="79" t="str">
        <f t="shared" si="11"/>
        <v/>
      </c>
    </row>
    <row r="261" spans="1:9">
      <c r="A261" s="83"/>
      <c r="B261" s="84"/>
      <c r="C261" s="79" t="str">
        <f t="shared" ref="C261:C304" si="12">IF(B261&gt;0,TEXT(B261,"(aaa)"),"")</f>
        <v/>
      </c>
      <c r="D261" s="83"/>
      <c r="E261" s="84"/>
      <c r="F261" s="79" t="str">
        <f t="shared" ref="F261:F304" si="13">IF(E261&gt;0,TEXT(E261,"(aaa)"),"")</f>
        <v/>
      </c>
      <c r="G261" s="83"/>
      <c r="H261" s="84"/>
      <c r="I261" s="79" t="str">
        <f t="shared" ref="I261:I304" si="14">IF(H261&gt;0,TEXT(H261,"(aaa)"),"")</f>
        <v/>
      </c>
    </row>
    <row r="262" spans="1:9">
      <c r="A262" s="83"/>
      <c r="B262" s="84"/>
      <c r="C262" s="79" t="str">
        <f t="shared" si="12"/>
        <v/>
      </c>
      <c r="D262" s="83"/>
      <c r="E262" s="84"/>
      <c r="F262" s="79" t="str">
        <f t="shared" si="13"/>
        <v/>
      </c>
      <c r="G262" s="83"/>
      <c r="H262" s="84"/>
      <c r="I262" s="79" t="str">
        <f t="shared" si="14"/>
        <v/>
      </c>
    </row>
    <row r="263" spans="1:9">
      <c r="A263" s="83"/>
      <c r="B263" s="84"/>
      <c r="C263" s="79" t="str">
        <f t="shared" si="12"/>
        <v/>
      </c>
      <c r="D263" s="83"/>
      <c r="E263" s="84"/>
      <c r="F263" s="79" t="str">
        <f t="shared" si="13"/>
        <v/>
      </c>
      <c r="G263" s="83"/>
      <c r="H263" s="84"/>
      <c r="I263" s="79" t="str">
        <f t="shared" si="14"/>
        <v/>
      </c>
    </row>
    <row r="264" spans="1:9">
      <c r="A264" s="83"/>
      <c r="B264" s="84"/>
      <c r="C264" s="79" t="str">
        <f t="shared" si="12"/>
        <v/>
      </c>
      <c r="D264" s="83"/>
      <c r="E264" s="84"/>
      <c r="F264" s="79" t="str">
        <f t="shared" si="13"/>
        <v/>
      </c>
      <c r="G264" s="83"/>
      <c r="H264" s="84"/>
      <c r="I264" s="79" t="str">
        <f t="shared" si="14"/>
        <v/>
      </c>
    </row>
    <row r="265" spans="1:9">
      <c r="A265" s="83"/>
      <c r="B265" s="84"/>
      <c r="C265" s="79" t="str">
        <f t="shared" si="12"/>
        <v/>
      </c>
      <c r="D265" s="83"/>
      <c r="E265" s="84"/>
      <c r="F265" s="79" t="str">
        <f t="shared" si="13"/>
        <v/>
      </c>
      <c r="G265" s="83"/>
      <c r="H265" s="84"/>
      <c r="I265" s="79" t="str">
        <f t="shared" si="14"/>
        <v/>
      </c>
    </row>
    <row r="266" spans="1:9">
      <c r="A266" s="83"/>
      <c r="B266" s="84"/>
      <c r="C266" s="79" t="str">
        <f t="shared" si="12"/>
        <v/>
      </c>
      <c r="D266" s="83"/>
      <c r="E266" s="84"/>
      <c r="F266" s="79" t="str">
        <f t="shared" si="13"/>
        <v/>
      </c>
      <c r="G266" s="83"/>
      <c r="H266" s="84"/>
      <c r="I266" s="79" t="str">
        <f t="shared" si="14"/>
        <v/>
      </c>
    </row>
    <row r="267" spans="1:9">
      <c r="A267" s="83"/>
      <c r="B267" s="84"/>
      <c r="C267" s="79" t="str">
        <f t="shared" si="12"/>
        <v/>
      </c>
      <c r="D267" s="83"/>
      <c r="E267" s="84"/>
      <c r="F267" s="79" t="str">
        <f t="shared" si="13"/>
        <v/>
      </c>
      <c r="G267" s="83"/>
      <c r="H267" s="84"/>
      <c r="I267" s="79" t="str">
        <f t="shared" si="14"/>
        <v/>
      </c>
    </row>
    <row r="268" spans="1:9">
      <c r="A268" s="83"/>
      <c r="B268" s="84"/>
      <c r="C268" s="79" t="str">
        <f t="shared" si="12"/>
        <v/>
      </c>
      <c r="D268" s="83"/>
      <c r="E268" s="84"/>
      <c r="F268" s="79" t="str">
        <f t="shared" si="13"/>
        <v/>
      </c>
      <c r="G268" s="83"/>
      <c r="H268" s="84"/>
      <c r="I268" s="79" t="str">
        <f t="shared" si="14"/>
        <v/>
      </c>
    </row>
    <row r="269" spans="1:9">
      <c r="A269" s="83"/>
      <c r="B269" s="84"/>
      <c r="C269" s="79" t="str">
        <f t="shared" si="12"/>
        <v/>
      </c>
      <c r="D269" s="83"/>
      <c r="E269" s="84"/>
      <c r="F269" s="79" t="str">
        <f t="shared" si="13"/>
        <v/>
      </c>
      <c r="G269" s="83"/>
      <c r="H269" s="84"/>
      <c r="I269" s="79" t="str">
        <f t="shared" si="14"/>
        <v/>
      </c>
    </row>
    <row r="270" spans="1:9">
      <c r="A270" s="83"/>
      <c r="B270" s="84"/>
      <c r="C270" s="79" t="str">
        <f t="shared" si="12"/>
        <v/>
      </c>
      <c r="D270" s="83"/>
      <c r="E270" s="84"/>
      <c r="F270" s="79" t="str">
        <f t="shared" si="13"/>
        <v/>
      </c>
      <c r="G270" s="83"/>
      <c r="H270" s="84"/>
      <c r="I270" s="79" t="str">
        <f t="shared" si="14"/>
        <v/>
      </c>
    </row>
    <row r="271" spans="1:9">
      <c r="A271" s="83"/>
      <c r="B271" s="84"/>
      <c r="C271" s="79" t="str">
        <f t="shared" si="12"/>
        <v/>
      </c>
      <c r="D271" s="83"/>
      <c r="E271" s="84"/>
      <c r="F271" s="79" t="str">
        <f t="shared" si="13"/>
        <v/>
      </c>
      <c r="G271" s="83"/>
      <c r="H271" s="84"/>
      <c r="I271" s="79" t="str">
        <f t="shared" si="14"/>
        <v/>
      </c>
    </row>
    <row r="272" spans="1:9">
      <c r="A272" s="83"/>
      <c r="B272" s="84"/>
      <c r="C272" s="79" t="str">
        <f t="shared" si="12"/>
        <v/>
      </c>
      <c r="D272" s="83"/>
      <c r="E272" s="84"/>
      <c r="F272" s="79" t="str">
        <f t="shared" si="13"/>
        <v/>
      </c>
      <c r="G272" s="83"/>
      <c r="H272" s="84"/>
      <c r="I272" s="79" t="str">
        <f t="shared" si="14"/>
        <v/>
      </c>
    </row>
    <row r="273" spans="1:9">
      <c r="A273" s="83"/>
      <c r="B273" s="84"/>
      <c r="C273" s="79" t="str">
        <f t="shared" si="12"/>
        <v/>
      </c>
      <c r="D273" s="83"/>
      <c r="E273" s="84"/>
      <c r="F273" s="79" t="str">
        <f t="shared" si="13"/>
        <v/>
      </c>
      <c r="G273" s="83"/>
      <c r="H273" s="84"/>
      <c r="I273" s="79" t="str">
        <f t="shared" si="14"/>
        <v/>
      </c>
    </row>
    <row r="274" spans="1:9">
      <c r="A274" s="83"/>
      <c r="B274" s="84"/>
      <c r="C274" s="79" t="str">
        <f t="shared" si="12"/>
        <v/>
      </c>
      <c r="D274" s="83"/>
      <c r="E274" s="84"/>
      <c r="F274" s="79" t="str">
        <f t="shared" si="13"/>
        <v/>
      </c>
      <c r="G274" s="83"/>
      <c r="H274" s="84"/>
      <c r="I274" s="79" t="str">
        <f t="shared" si="14"/>
        <v/>
      </c>
    </row>
    <row r="275" spans="1:9">
      <c r="A275" s="83"/>
      <c r="B275" s="84"/>
      <c r="C275" s="79" t="str">
        <f t="shared" si="12"/>
        <v/>
      </c>
      <c r="D275" s="83"/>
      <c r="E275" s="84"/>
      <c r="F275" s="79" t="str">
        <f t="shared" si="13"/>
        <v/>
      </c>
      <c r="G275" s="83"/>
      <c r="H275" s="84"/>
      <c r="I275" s="79" t="str">
        <f t="shared" si="14"/>
        <v/>
      </c>
    </row>
    <row r="276" spans="1:9">
      <c r="A276" s="83"/>
      <c r="B276" s="84"/>
      <c r="C276" s="79" t="str">
        <f t="shared" si="12"/>
        <v/>
      </c>
      <c r="D276" s="83"/>
      <c r="E276" s="84"/>
      <c r="F276" s="79" t="str">
        <f t="shared" si="13"/>
        <v/>
      </c>
      <c r="G276" s="83"/>
      <c r="H276" s="84"/>
      <c r="I276" s="79" t="str">
        <f t="shared" si="14"/>
        <v/>
      </c>
    </row>
    <row r="277" spans="1:9">
      <c r="A277" s="83"/>
      <c r="B277" s="84"/>
      <c r="C277" s="79" t="str">
        <f t="shared" si="12"/>
        <v/>
      </c>
      <c r="D277" s="83"/>
      <c r="E277" s="84"/>
      <c r="F277" s="79" t="str">
        <f t="shared" si="13"/>
        <v/>
      </c>
      <c r="G277" s="83"/>
      <c r="H277" s="84"/>
      <c r="I277" s="79" t="str">
        <f t="shared" si="14"/>
        <v/>
      </c>
    </row>
    <row r="278" spans="1:9">
      <c r="A278" s="83"/>
      <c r="B278" s="84"/>
      <c r="C278" s="79" t="str">
        <f t="shared" si="12"/>
        <v/>
      </c>
      <c r="D278" s="83"/>
      <c r="E278" s="84"/>
      <c r="F278" s="79" t="str">
        <f t="shared" si="13"/>
        <v/>
      </c>
      <c r="G278" s="83"/>
      <c r="H278" s="84"/>
      <c r="I278" s="79" t="str">
        <f t="shared" si="14"/>
        <v/>
      </c>
    </row>
    <row r="279" spans="1:9">
      <c r="A279" s="83"/>
      <c r="B279" s="84"/>
      <c r="C279" s="79" t="str">
        <f t="shared" si="12"/>
        <v/>
      </c>
      <c r="D279" s="83"/>
      <c r="E279" s="84"/>
      <c r="F279" s="79" t="str">
        <f t="shared" si="13"/>
        <v/>
      </c>
      <c r="G279" s="83"/>
      <c r="H279" s="84"/>
      <c r="I279" s="79" t="str">
        <f t="shared" si="14"/>
        <v/>
      </c>
    </row>
    <row r="280" spans="1:9">
      <c r="A280" s="83"/>
      <c r="B280" s="84"/>
      <c r="C280" s="79" t="str">
        <f t="shared" si="12"/>
        <v/>
      </c>
      <c r="D280" s="83"/>
      <c r="E280" s="84"/>
      <c r="F280" s="79" t="str">
        <f t="shared" si="13"/>
        <v/>
      </c>
      <c r="G280" s="83"/>
      <c r="H280" s="84"/>
      <c r="I280" s="79" t="str">
        <f t="shared" si="14"/>
        <v/>
      </c>
    </row>
    <row r="281" spans="1:9">
      <c r="A281" s="83"/>
      <c r="B281" s="84"/>
      <c r="C281" s="79" t="str">
        <f t="shared" si="12"/>
        <v/>
      </c>
      <c r="D281" s="83"/>
      <c r="E281" s="84"/>
      <c r="F281" s="79" t="str">
        <f t="shared" si="13"/>
        <v/>
      </c>
      <c r="G281" s="83"/>
      <c r="H281" s="84"/>
      <c r="I281" s="79" t="str">
        <f t="shared" si="14"/>
        <v/>
      </c>
    </row>
    <row r="282" spans="1:9">
      <c r="A282" s="83"/>
      <c r="B282" s="84"/>
      <c r="C282" s="79" t="str">
        <f t="shared" si="12"/>
        <v/>
      </c>
      <c r="D282" s="83"/>
      <c r="E282" s="84"/>
      <c r="F282" s="79" t="str">
        <f t="shared" si="13"/>
        <v/>
      </c>
      <c r="G282" s="83"/>
      <c r="H282" s="84"/>
      <c r="I282" s="79" t="str">
        <f t="shared" si="14"/>
        <v/>
      </c>
    </row>
    <row r="283" spans="1:9">
      <c r="A283" s="83"/>
      <c r="B283" s="84"/>
      <c r="C283" s="79" t="str">
        <f t="shared" si="12"/>
        <v/>
      </c>
      <c r="D283" s="83"/>
      <c r="E283" s="84"/>
      <c r="F283" s="79" t="str">
        <f t="shared" si="13"/>
        <v/>
      </c>
      <c r="G283" s="83"/>
      <c r="H283" s="84"/>
      <c r="I283" s="79" t="str">
        <f t="shared" si="14"/>
        <v/>
      </c>
    </row>
    <row r="284" spans="1:9">
      <c r="A284" s="83"/>
      <c r="B284" s="84"/>
      <c r="C284" s="79" t="str">
        <f t="shared" si="12"/>
        <v/>
      </c>
      <c r="D284" s="83"/>
      <c r="E284" s="84"/>
      <c r="F284" s="79" t="str">
        <f t="shared" si="13"/>
        <v/>
      </c>
      <c r="G284" s="83"/>
      <c r="H284" s="84"/>
      <c r="I284" s="79" t="str">
        <f t="shared" si="14"/>
        <v/>
      </c>
    </row>
    <row r="285" spans="1:9">
      <c r="A285" s="83"/>
      <c r="B285" s="84"/>
      <c r="C285" s="79" t="str">
        <f t="shared" si="12"/>
        <v/>
      </c>
      <c r="D285" s="83"/>
      <c r="E285" s="84"/>
      <c r="F285" s="79" t="str">
        <f t="shared" si="13"/>
        <v/>
      </c>
      <c r="G285" s="83"/>
      <c r="H285" s="84"/>
      <c r="I285" s="79" t="str">
        <f t="shared" si="14"/>
        <v/>
      </c>
    </row>
    <row r="286" spans="1:9">
      <c r="A286" s="83"/>
      <c r="B286" s="84"/>
      <c r="C286" s="79" t="str">
        <f t="shared" si="12"/>
        <v/>
      </c>
      <c r="D286" s="83"/>
      <c r="E286" s="84"/>
      <c r="F286" s="79" t="str">
        <f t="shared" si="13"/>
        <v/>
      </c>
      <c r="G286" s="83"/>
      <c r="H286" s="84"/>
      <c r="I286" s="79" t="str">
        <f t="shared" si="14"/>
        <v/>
      </c>
    </row>
    <row r="287" spans="1:9">
      <c r="A287" s="83"/>
      <c r="B287" s="84"/>
      <c r="C287" s="79" t="str">
        <f t="shared" si="12"/>
        <v/>
      </c>
      <c r="D287" s="83"/>
      <c r="E287" s="84"/>
      <c r="F287" s="79" t="str">
        <f t="shared" si="13"/>
        <v/>
      </c>
      <c r="G287" s="83"/>
      <c r="H287" s="84"/>
      <c r="I287" s="79" t="str">
        <f t="shared" si="14"/>
        <v/>
      </c>
    </row>
    <row r="288" spans="1:9">
      <c r="A288" s="83"/>
      <c r="B288" s="84"/>
      <c r="C288" s="79" t="str">
        <f t="shared" si="12"/>
        <v/>
      </c>
      <c r="D288" s="83"/>
      <c r="E288" s="84"/>
      <c r="F288" s="79" t="str">
        <f t="shared" si="13"/>
        <v/>
      </c>
      <c r="G288" s="83"/>
      <c r="H288" s="84"/>
      <c r="I288" s="79" t="str">
        <f t="shared" si="14"/>
        <v/>
      </c>
    </row>
    <row r="289" spans="1:9">
      <c r="A289" s="83"/>
      <c r="B289" s="84"/>
      <c r="C289" s="79" t="str">
        <f t="shared" si="12"/>
        <v/>
      </c>
      <c r="D289" s="83"/>
      <c r="E289" s="84"/>
      <c r="F289" s="79" t="str">
        <f t="shared" si="13"/>
        <v/>
      </c>
      <c r="G289" s="83"/>
      <c r="H289" s="84"/>
      <c r="I289" s="79" t="str">
        <f t="shared" si="14"/>
        <v/>
      </c>
    </row>
    <row r="290" spans="1:9">
      <c r="A290" s="83"/>
      <c r="B290" s="84"/>
      <c r="C290" s="79" t="str">
        <f t="shared" si="12"/>
        <v/>
      </c>
      <c r="D290" s="83"/>
      <c r="E290" s="84"/>
      <c r="F290" s="79" t="str">
        <f t="shared" si="13"/>
        <v/>
      </c>
      <c r="G290" s="83"/>
      <c r="H290" s="84"/>
      <c r="I290" s="79" t="str">
        <f t="shared" si="14"/>
        <v/>
      </c>
    </row>
    <row r="291" spans="1:9">
      <c r="A291" s="83"/>
      <c r="B291" s="84"/>
      <c r="C291" s="79" t="str">
        <f t="shared" si="12"/>
        <v/>
      </c>
      <c r="D291" s="83"/>
      <c r="E291" s="84"/>
      <c r="F291" s="79" t="str">
        <f t="shared" si="13"/>
        <v/>
      </c>
      <c r="G291" s="83"/>
      <c r="H291" s="84"/>
      <c r="I291" s="79" t="str">
        <f t="shared" si="14"/>
        <v/>
      </c>
    </row>
    <row r="292" spans="1:9">
      <c r="A292" s="83"/>
      <c r="B292" s="84"/>
      <c r="C292" s="79" t="str">
        <f t="shared" si="12"/>
        <v/>
      </c>
      <c r="D292" s="83"/>
      <c r="E292" s="84"/>
      <c r="F292" s="79" t="str">
        <f t="shared" si="13"/>
        <v/>
      </c>
      <c r="G292" s="83"/>
      <c r="H292" s="84"/>
      <c r="I292" s="79" t="str">
        <f t="shared" si="14"/>
        <v/>
      </c>
    </row>
    <row r="293" spans="1:9">
      <c r="A293" s="83"/>
      <c r="B293" s="84"/>
      <c r="C293" s="79" t="str">
        <f t="shared" si="12"/>
        <v/>
      </c>
      <c r="D293" s="83"/>
      <c r="E293" s="84"/>
      <c r="F293" s="79" t="str">
        <f t="shared" si="13"/>
        <v/>
      </c>
      <c r="G293" s="83"/>
      <c r="H293" s="84"/>
      <c r="I293" s="79" t="str">
        <f t="shared" si="14"/>
        <v/>
      </c>
    </row>
    <row r="294" spans="1:9">
      <c r="A294" s="83"/>
      <c r="B294" s="84"/>
      <c r="C294" s="79" t="str">
        <f t="shared" si="12"/>
        <v/>
      </c>
      <c r="D294" s="83"/>
      <c r="E294" s="84"/>
      <c r="F294" s="79" t="str">
        <f t="shared" si="13"/>
        <v/>
      </c>
      <c r="G294" s="83"/>
      <c r="H294" s="84"/>
      <c r="I294" s="79" t="str">
        <f t="shared" si="14"/>
        <v/>
      </c>
    </row>
    <row r="295" spans="1:9">
      <c r="A295" s="83"/>
      <c r="B295" s="84"/>
      <c r="C295" s="79" t="str">
        <f t="shared" si="12"/>
        <v/>
      </c>
      <c r="D295" s="83"/>
      <c r="E295" s="84"/>
      <c r="F295" s="79" t="str">
        <f t="shared" si="13"/>
        <v/>
      </c>
      <c r="G295" s="83"/>
      <c r="H295" s="84"/>
      <c r="I295" s="79" t="str">
        <f t="shared" si="14"/>
        <v/>
      </c>
    </row>
    <row r="296" spans="1:9">
      <c r="A296" s="83"/>
      <c r="B296" s="84"/>
      <c r="C296" s="79" t="str">
        <f t="shared" si="12"/>
        <v/>
      </c>
      <c r="D296" s="83"/>
      <c r="E296" s="84"/>
      <c r="F296" s="79" t="str">
        <f t="shared" si="13"/>
        <v/>
      </c>
      <c r="G296" s="83"/>
      <c r="H296" s="84"/>
      <c r="I296" s="79" t="str">
        <f t="shared" si="14"/>
        <v/>
      </c>
    </row>
    <row r="297" spans="1:9">
      <c r="A297" s="83"/>
      <c r="B297" s="84"/>
      <c r="C297" s="79" t="str">
        <f t="shared" si="12"/>
        <v/>
      </c>
      <c r="D297" s="83"/>
      <c r="E297" s="84"/>
      <c r="F297" s="79" t="str">
        <f t="shared" si="13"/>
        <v/>
      </c>
      <c r="G297" s="83"/>
      <c r="H297" s="84"/>
      <c r="I297" s="79" t="str">
        <f t="shared" si="14"/>
        <v/>
      </c>
    </row>
    <row r="298" spans="1:9">
      <c r="A298" s="83"/>
      <c r="B298" s="84"/>
      <c r="C298" s="79" t="str">
        <f t="shared" si="12"/>
        <v/>
      </c>
      <c r="D298" s="83"/>
      <c r="E298" s="84"/>
      <c r="F298" s="79" t="str">
        <f t="shared" si="13"/>
        <v/>
      </c>
      <c r="G298" s="83"/>
      <c r="H298" s="84"/>
      <c r="I298" s="79" t="str">
        <f t="shared" si="14"/>
        <v/>
      </c>
    </row>
    <row r="299" spans="1:9">
      <c r="A299" s="83"/>
      <c r="B299" s="84"/>
      <c r="C299" s="79" t="str">
        <f t="shared" si="12"/>
        <v/>
      </c>
      <c r="D299" s="83"/>
      <c r="E299" s="84"/>
      <c r="F299" s="79" t="str">
        <f t="shared" si="13"/>
        <v/>
      </c>
      <c r="G299" s="83"/>
      <c r="H299" s="84"/>
      <c r="I299" s="79" t="str">
        <f t="shared" si="14"/>
        <v/>
      </c>
    </row>
    <row r="300" spans="1:9">
      <c r="A300" s="83"/>
      <c r="B300" s="84"/>
      <c r="C300" s="79" t="str">
        <f t="shared" si="12"/>
        <v/>
      </c>
      <c r="D300" s="83"/>
      <c r="E300" s="84"/>
      <c r="F300" s="79" t="str">
        <f t="shared" si="13"/>
        <v/>
      </c>
      <c r="G300" s="83"/>
      <c r="H300" s="84"/>
      <c r="I300" s="79" t="str">
        <f t="shared" si="14"/>
        <v/>
      </c>
    </row>
    <row r="301" spans="1:9">
      <c r="A301" s="83"/>
      <c r="B301" s="84"/>
      <c r="C301" s="79" t="str">
        <f t="shared" si="12"/>
        <v/>
      </c>
      <c r="D301" s="83"/>
      <c r="E301" s="84"/>
      <c r="F301" s="79" t="str">
        <f t="shared" si="13"/>
        <v/>
      </c>
      <c r="G301" s="83"/>
      <c r="H301" s="84"/>
      <c r="I301" s="79" t="str">
        <f t="shared" si="14"/>
        <v/>
      </c>
    </row>
    <row r="302" spans="1:9">
      <c r="A302" s="83"/>
      <c r="B302" s="86"/>
      <c r="C302" s="79" t="str">
        <f t="shared" si="12"/>
        <v/>
      </c>
      <c r="D302" s="83"/>
      <c r="E302" s="86"/>
      <c r="F302" s="79" t="str">
        <f t="shared" si="13"/>
        <v/>
      </c>
      <c r="G302" s="83"/>
      <c r="H302" s="86"/>
      <c r="I302" s="79" t="str">
        <f t="shared" si="14"/>
        <v/>
      </c>
    </row>
    <row r="303" spans="1:9">
      <c r="A303" s="83"/>
      <c r="B303" s="86"/>
      <c r="C303" s="79" t="str">
        <f t="shared" si="12"/>
        <v/>
      </c>
      <c r="D303" s="83"/>
      <c r="E303" s="86"/>
      <c r="F303" s="79" t="str">
        <f t="shared" si="13"/>
        <v/>
      </c>
      <c r="G303" s="83"/>
      <c r="H303" s="86"/>
      <c r="I303" s="79" t="str">
        <f t="shared" si="14"/>
        <v/>
      </c>
    </row>
    <row r="304" spans="1:9">
      <c r="A304" s="83"/>
      <c r="B304" s="86"/>
      <c r="C304" s="79" t="str">
        <f t="shared" si="12"/>
        <v/>
      </c>
      <c r="D304" s="83"/>
      <c r="E304" s="86"/>
      <c r="F304" s="79" t="str">
        <f t="shared" si="13"/>
        <v/>
      </c>
      <c r="G304" s="83"/>
      <c r="H304" s="86"/>
      <c r="I304" s="79" t="str">
        <f t="shared" si="14"/>
        <v/>
      </c>
    </row>
    <row r="305" spans="1:7">
      <c r="A305" s="79" t="s">
        <v>1026</v>
      </c>
      <c r="D305" s="79" t="s">
        <v>1026</v>
      </c>
      <c r="G305" s="79" t="s">
        <v>1026</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Administrator</cp:lastModifiedBy>
  <dcterms:created xsi:type="dcterms:W3CDTF">2018-02-18T09:45:14Z</dcterms:created>
  <dcterms:modified xsi:type="dcterms:W3CDTF">2019-03-11T03:40:52Z</dcterms:modified>
</cp:coreProperties>
</file>